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microsoftapc-my.sharepoint.com/personal/wening_microsoft_com/Documents/MS/ATT/Delivery/MS-4018-20261019/Lubrizol/"/>
    </mc:Choice>
  </mc:AlternateContent>
  <xr:revisionPtr revIDLastSave="729" documentId="11_F6A0CF73943780527D48984FAF52B03BFF5B4E2D" xr6:coauthVersionLast="47" xr6:coauthVersionMax="47" xr10:uidLastSave="{DDEB00E2-52BE-43DD-8B66-8A45E5D1DCBE}"/>
  <bookViews>
    <workbookView xWindow="-120" yWindow="-120" windowWidth="29040" windowHeight="15720" xr2:uid="{00000000-000D-0000-FFFF-FFFF00000000}"/>
  </bookViews>
  <sheets>
    <sheet name="Raw_Data" sheetId="1" r:id="rId1"/>
    <sheet name="Dashboard" sheetId="5" r:id="rId2"/>
    <sheet name="Chart Data" sheetId="6" state="hidden" r:id="rId3"/>
  </sheets>
  <definedNames>
    <definedName name="_xlnm._FilterDatabase" localSheetId="0" hidden="1">Raw_Data!$A$1:$Q$121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<sst xmlns="http://schemas.openxmlformats.org/spreadsheetml/2006/main" count="1235" uniqueCount="217">
  <si>
    <t>Order ID</t>
  </si>
  <si>
    <t>Order Date</t>
  </si>
  <si>
    <t>Region</t>
  </si>
  <si>
    <t>Customer</t>
  </si>
  <si>
    <t>Product Code</t>
  </si>
  <si>
    <t>Business Segment</t>
  </si>
  <si>
    <t>Product Description</t>
  </si>
  <si>
    <t>Plant</t>
  </si>
  <si>
    <t>Quantity kg</t>
  </si>
  <si>
    <t>Unit Price USD</t>
  </si>
  <si>
    <t>Revenue USD</t>
  </si>
  <si>
    <t>Quality Score</t>
  </si>
  <si>
    <t>Delivery Status</t>
  </si>
  <si>
    <t>Lead Time Days</t>
  </si>
  <si>
    <t>CO2e kg</t>
  </si>
  <si>
    <t>Sales Rep</t>
  </si>
  <si>
    <t>Notes</t>
  </si>
  <si>
    <t>ORD-0001</t>
  </si>
  <si>
    <t>Europe</t>
  </si>
  <si>
    <t>Vertex Infrastructure</t>
  </si>
  <si>
    <t>LZ-IND-210</t>
  </si>
  <si>
    <t>Industrial</t>
  </si>
  <si>
    <t>Hydraulic Fluid Additive</t>
  </si>
  <si>
    <t>Songjiang</t>
  </si>
  <si>
    <t>At Risk</t>
  </si>
  <si>
    <t>A. Tan</t>
  </si>
  <si>
    <t>ORD-0002</t>
  </si>
  <si>
    <t>Greater China</t>
  </si>
  <si>
    <t>Apex Mobility</t>
  </si>
  <si>
    <t>Rouen</t>
  </si>
  <si>
    <t>Delayed</t>
  </si>
  <si>
    <t>C. Kumar</t>
  </si>
  <si>
    <t>ORD-0003</t>
  </si>
  <si>
    <t>Japan &amp; Korea</t>
  </si>
  <si>
    <t>LZ-BPC-330</t>
  </si>
  <si>
    <t>Beauty &amp; Personal Care</t>
  </si>
  <si>
    <t>Rheology Modifier</t>
  </si>
  <si>
    <t>On Time</t>
  </si>
  <si>
    <t>sample lot</t>
  </si>
  <si>
    <t>ORD-0004</t>
  </si>
  <si>
    <t>Metro Industrial</t>
  </si>
  <si>
    <t>LZ-HLC-520</t>
  </si>
  <si>
    <t>Healthcare</t>
  </si>
  <si>
    <t>Pharma Grade Polymer</t>
  </si>
  <si>
    <t>E. Martin</t>
  </si>
  <si>
    <t>Customer requested COA</t>
  </si>
  <si>
    <t>ORD-0005</t>
  </si>
  <si>
    <t>Southeast Asia</t>
  </si>
  <si>
    <t>Summit Healthcare</t>
  </si>
  <si>
    <t>LZ-COA-415</t>
  </si>
  <si>
    <t>Coatings</t>
  </si>
  <si>
    <t>Dispersant Polymer</t>
  </si>
  <si>
    <t>Dahej</t>
  </si>
  <si>
    <t>rush order</t>
  </si>
  <si>
    <t>ORD-0006</t>
  </si>
  <si>
    <t>LZ-BLD-610</t>
  </si>
  <si>
    <t>Building &amp; Construction</t>
  </si>
  <si>
    <t>CPVC Performance Compound</t>
  </si>
  <si>
    <t>Jurong</t>
  </si>
  <si>
    <t>ORD-0007</t>
  </si>
  <si>
    <t xml:space="preserve"> Apex Mobility  </t>
  </si>
  <si>
    <t>D. Chen</t>
  </si>
  <si>
    <t>price review</t>
  </si>
  <si>
    <t>ORD-0008</t>
  </si>
  <si>
    <t>Orion Coatings</t>
  </si>
  <si>
    <t>LZ-ELC-810</t>
  </si>
  <si>
    <t>Electronics &amp; IT</t>
  </si>
  <si>
    <t>Thermal Management Fluid</t>
  </si>
  <si>
    <t>B. Lee</t>
  </si>
  <si>
    <t>ORD-0009</t>
  </si>
  <si>
    <t>Nova Personal Care</t>
  </si>
  <si>
    <t>ORD-0010</t>
  </si>
  <si>
    <t>ORD-0011</t>
  </si>
  <si>
    <t>ORD-0012</t>
  </si>
  <si>
    <t>BluePeak Energy</t>
  </si>
  <si>
    <t>ORD-0013</t>
  </si>
  <si>
    <t>EUROPE</t>
  </si>
  <si>
    <t>ORD-0014</t>
  </si>
  <si>
    <t>Painesville</t>
  </si>
  <si>
    <t>ORD-0015</t>
  </si>
  <si>
    <t>ORD-0016</t>
  </si>
  <si>
    <t>ORD-0017</t>
  </si>
  <si>
    <t>India</t>
  </si>
  <si>
    <t>ORD-0018</t>
  </si>
  <si>
    <t>North America</t>
  </si>
  <si>
    <t>on time</t>
  </si>
  <si>
    <t>ORD-0019</t>
  </si>
  <si>
    <t>Delta Electronics</t>
  </si>
  <si>
    <t>LZ-ENE-710</t>
  </si>
  <si>
    <t>Energy &amp; Resources</t>
  </si>
  <si>
    <t>Industrial Lubricant Additive</t>
  </si>
  <si>
    <t>ORD-0020</t>
  </si>
  <si>
    <t>ORD-0021</t>
  </si>
  <si>
    <t>ORD-0022</t>
  </si>
  <si>
    <t>LZTRN101</t>
  </si>
  <si>
    <t>Transportation</t>
  </si>
  <si>
    <t>Driveline Additive Package</t>
  </si>
  <si>
    <t>ORD-0023</t>
  </si>
  <si>
    <t>ORD-0024</t>
  </si>
  <si>
    <t xml:space="preserve"> Metro Industrial  </t>
  </si>
  <si>
    <t>ORD-0025</t>
  </si>
  <si>
    <t>ORD-0026</t>
  </si>
  <si>
    <t>ORD-0027</t>
  </si>
  <si>
    <t>ORD-0028</t>
  </si>
  <si>
    <t>LZ-TRN-101</t>
  </si>
  <si>
    <t>ORD-0029</t>
  </si>
  <si>
    <t>ORD-0030</t>
  </si>
  <si>
    <t>ORD-0031</t>
  </si>
  <si>
    <t>N/A</t>
  </si>
  <si>
    <t>ORD-0032</t>
  </si>
  <si>
    <t>ORD-0033</t>
  </si>
  <si>
    <t>ORD-0034</t>
  </si>
  <si>
    <t>ORD-0035</t>
  </si>
  <si>
    <t>ORD-0036</t>
  </si>
  <si>
    <t>ORD-0037</t>
  </si>
  <si>
    <t>ORD-0038</t>
  </si>
  <si>
    <t>ORD-0039</t>
  </si>
  <si>
    <t>ORD-0040</t>
  </si>
  <si>
    <t>ORD-0041</t>
  </si>
  <si>
    <t>ORD-0042</t>
  </si>
  <si>
    <t>ORD-0043</t>
  </si>
  <si>
    <t>ORD-0044</t>
  </si>
  <si>
    <t>ORD-0045</t>
  </si>
  <si>
    <t>ORD-0046</t>
  </si>
  <si>
    <t>INDIA</t>
  </si>
  <si>
    <t>ORD-0047</t>
  </si>
  <si>
    <t>ORD-0048</t>
  </si>
  <si>
    <t>ORD-0049</t>
  </si>
  <si>
    <t>ORD-0050</t>
  </si>
  <si>
    <t>ORD-0051</t>
  </si>
  <si>
    <t>ORD-0052</t>
  </si>
  <si>
    <t>ORD-0053</t>
  </si>
  <si>
    <t>ORD-0054</t>
  </si>
  <si>
    <t>ORD-0055</t>
  </si>
  <si>
    <t>ORD-0056</t>
  </si>
  <si>
    <t>ORD-0057</t>
  </si>
  <si>
    <t>ORD-0058</t>
  </si>
  <si>
    <t>ORD-0059</t>
  </si>
  <si>
    <t>ORD-0060</t>
  </si>
  <si>
    <t>ORD-0061</t>
  </si>
  <si>
    <t>ORD-0062</t>
  </si>
  <si>
    <t>ORD-0063</t>
  </si>
  <si>
    <t>LZELC810</t>
  </si>
  <si>
    <t>ORD-0064</t>
  </si>
  <si>
    <t>ORD-0065</t>
  </si>
  <si>
    <t>ORD-0066</t>
  </si>
  <si>
    <t>ORD-0067</t>
  </si>
  <si>
    <t>ORD-0068</t>
  </si>
  <si>
    <t>ORD-0069</t>
  </si>
  <si>
    <t>ORD-0071</t>
  </si>
  <si>
    <t>ORD-0072</t>
  </si>
  <si>
    <t>ORD-0073</t>
  </si>
  <si>
    <t>ORD-0074</t>
  </si>
  <si>
    <t>ORD-0075</t>
  </si>
  <si>
    <t>ORD-0076</t>
  </si>
  <si>
    <t>ORD-0077</t>
  </si>
  <si>
    <t>GREATER CHINA</t>
  </si>
  <si>
    <t>ORD-0078</t>
  </si>
  <si>
    <t>ORD-0079</t>
  </si>
  <si>
    <t>ORD-0080</t>
  </si>
  <si>
    <t>ORD-0081</t>
  </si>
  <si>
    <t>ORD-0082</t>
  </si>
  <si>
    <t>ORD-0083</t>
  </si>
  <si>
    <t>ORD-0084</t>
  </si>
  <si>
    <t>ORD-0085</t>
  </si>
  <si>
    <t>ORD-0086</t>
  </si>
  <si>
    <t>ORD-0087</t>
  </si>
  <si>
    <t>ORD-0088</t>
  </si>
  <si>
    <t>ORD-0089</t>
  </si>
  <si>
    <t xml:space="preserve"> Orion Coatings  </t>
  </si>
  <si>
    <t>ORD-0090</t>
  </si>
  <si>
    <t>ORD-0091</t>
  </si>
  <si>
    <t>ORD-0092</t>
  </si>
  <si>
    <t>ORD-0093</t>
  </si>
  <si>
    <t>ORD-0094</t>
  </si>
  <si>
    <t>ORD-0095</t>
  </si>
  <si>
    <t>ORD-0096</t>
  </si>
  <si>
    <t>ORD-0097</t>
  </si>
  <si>
    <t>ORD-0098</t>
  </si>
  <si>
    <t>ORD-0099</t>
  </si>
  <si>
    <t>ORD-0100</t>
  </si>
  <si>
    <t>ORD-0101</t>
  </si>
  <si>
    <t>ORD-0102</t>
  </si>
  <si>
    <t>ORD-0103</t>
  </si>
  <si>
    <t>ORD-0104</t>
  </si>
  <si>
    <t>ORD-0105</t>
  </si>
  <si>
    <t>ORD-0106</t>
  </si>
  <si>
    <t>ORD-0107</t>
  </si>
  <si>
    <t>ORD-0108</t>
  </si>
  <si>
    <t>ORD-0109</t>
  </si>
  <si>
    <t>ORD-0110</t>
  </si>
  <si>
    <t>ORD-0111</t>
  </si>
  <si>
    <t>ORD-0112</t>
  </si>
  <si>
    <t>ORD-0113</t>
  </si>
  <si>
    <t>ORD-0114</t>
  </si>
  <si>
    <t>ORD-0115</t>
  </si>
  <si>
    <t>ORD-0116</t>
  </si>
  <si>
    <t>ORD-0117</t>
  </si>
  <si>
    <t>ORD-0118</t>
  </si>
  <si>
    <t>ORD-0119</t>
  </si>
  <si>
    <t>ORD-0120</t>
  </si>
  <si>
    <t>Month</t>
  </si>
  <si>
    <t>2026 Commercial &amp; Operations Dashboard</t>
  </si>
  <si>
    <t>Key insights from 120 orders in RawOrders</t>
  </si>
  <si>
    <t>TOTAL REVENUE</t>
  </si>
  <si>
    <t>ORDERS</t>
  </si>
  <si>
    <t>AVG QUALITY</t>
  </si>
  <si>
    <t>ON-TIME RATE</t>
  </si>
  <si>
    <t>AVG LEAD TIME</t>
  </si>
  <si>
    <t>CO2e / KG</t>
  </si>
  <si>
    <t>FOCUS: Southeast Asia leads revenue at 25.1%; 47 orders (39.2%) are delayed or at risk. Sep 2026 posted the highest average quality score (90.6).</t>
  </si>
  <si>
    <t>Top Customers by Revenue</t>
  </si>
  <si>
    <t>Share of Revenue</t>
  </si>
  <si>
    <t>Executive Readout</t>
  </si>
  <si>
    <t>Revenue is concentrated in Southeast Asia and Healthcare (19.4% of revenue). Delivery execution is the main watchpoint, with only 60.8% of orders on time. Quality remains strong at 87.7 average, while emissions intensity is 1.280 kg CO2e per kg sold.</t>
  </si>
  <si>
    <t>Avg Quality</t>
  </si>
  <si>
    <t>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</si>
</sst>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6" formatCode="0.0%"/>
    <numFmt numFmtId="167" formatCode="0.000"/>
    <numFmt numFmtId="169" formatCode="&quot;$&quot;#,##0"/>
    <numFmt numFmtId="170" formatCode="0.0"/>
    <numFmt numFmtId="171" formatCode="0.0\ &quot;days&quot;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253746"/>
      <name val="Aptos"/>
    </font>
    <font>
      <b/>
      <sz val="11"/>
      <color rgb="FFFFFFFF"/>
      <name val="Aptos"/>
    </font>
    <font>
      <b/>
      <sz val="22"/>
      <color rgb="FFFFFFFF"/>
      <name val="Aptos"/>
    </font>
    <font>
      <sz val="11"/>
      <color rgb="FF607480"/>
      <name val="Aptos"/>
    </font>
    <font>
      <b/>
      <sz val="9"/>
      <color rgb="FFFFFFFF"/>
      <name val="Aptos"/>
    </font>
    <font>
      <b/>
      <sz val="19"/>
      <color rgb="FF17324D"/>
      <name val="Aptos"/>
    </font>
    <font>
      <b/>
      <sz val="11"/>
      <color rgb="FF7A4517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FFF"/>
        <bgColor indexed="64"/>
      </patternFill>
    </fill>
    <fill>
      <patternFill patternType="solid">
        <fgColor rgb="FF17324D"/>
        <bgColor indexed="64"/>
      </patternFill>
    </fill>
    <fill>
      <patternFill patternType="solid">
        <fgColor rgb="FF0F8B8D"/>
        <bgColor indexed="64"/>
      </patternFill>
    </fill>
    <fill>
      <patternFill patternType="solid">
        <fgColor rgb="FFEAF2F5"/>
        <bgColor indexed="64"/>
      </patternFill>
    </fill>
    <fill>
      <patternFill patternType="solid">
        <fgColor rgb="FFFFF3E6"/>
        <bgColor indexed="64"/>
      </patternFill>
    </fill>
    <fill>
      <patternFill patternType="solid">
        <fgColor rgb="FFF4F8F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164" fontId="0" fillId="0" borderId="1" xfId="0" applyNumberFormat="1" applyBorder="1" applyAlignment="1">
      <alignment vertical="top"/>
    </xf>
    <xf numFmtId="4" fontId="0" fillId="0" borderId="1" xfId="0" applyNumberFormat="1" applyBorder="1" applyAlignment="1">
      <alignment vertical="top"/>
    </xf>
    <xf numFmtId="169" fontId="0" fillId="0" borderId="0" xfId="0" applyNumberFormat="1"/>
    <xf numFmtId="17" fontId="0" fillId="0" borderId="0" xfId="0" applyNumberFormat="1"/>
    <xf numFmtId="0" fontId="2" fillId="3" borderId="0" xfId="0" applyFont="1" applyFill="1"/>
    <xf numFmtId="0" fontId="3" fillId="4" borderId="0" xfId="0" applyFont="1" applyFill="1"/>
    <xf numFmtId="0" fontId="4" fillId="4" borderId="0" xfId="0" applyFont="1" applyFill="1"/>
    <xf numFmtId="0" fontId="5" fillId="3" borderId="0" xfId="0" applyFont="1" applyFill="1"/>
    <xf numFmtId="0" fontId="6" fillId="5" borderId="0" xfId="0" applyFont="1" applyFill="1" applyAlignment="1">
      <alignment horizontal="center" vertical="center"/>
    </xf>
    <xf numFmtId="169" fontId="7" fillId="6" borderId="0" xfId="0" applyNumberFormat="1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1" fontId="7" fillId="6" borderId="0" xfId="0" applyNumberFormat="1" applyFont="1" applyFill="1" applyAlignment="1">
      <alignment horizontal="center" vertical="center"/>
    </xf>
    <xf numFmtId="170" fontId="7" fillId="6" borderId="0" xfId="0" applyNumberFormat="1" applyFont="1" applyFill="1" applyAlignment="1">
      <alignment horizontal="center" vertical="center"/>
    </xf>
    <xf numFmtId="0" fontId="6" fillId="5" borderId="0" xfId="0" applyFont="1" applyFill="1" applyBorder="1" applyAlignment="1">
      <alignment horizontal="center" vertical="center"/>
    </xf>
    <xf numFmtId="166" fontId="7" fillId="6" borderId="0" xfId="0" applyNumberFormat="1" applyFont="1" applyFill="1" applyAlignment="1">
      <alignment horizontal="center" vertical="center"/>
    </xf>
    <xf numFmtId="171" fontId="7" fillId="6" borderId="0" xfId="0" applyNumberFormat="1" applyFont="1" applyFill="1" applyAlignment="1">
      <alignment horizontal="center" vertical="center"/>
    </xf>
    <xf numFmtId="167" fontId="7" fillId="6" borderId="0" xfId="0" applyNumberFormat="1" applyFont="1" applyFill="1" applyAlignment="1">
      <alignment horizontal="center" vertical="center"/>
    </xf>
    <xf numFmtId="0" fontId="8" fillId="7" borderId="0" xfId="0" applyFont="1" applyFill="1" applyAlignment="1">
      <alignment wrapText="1"/>
    </xf>
    <xf numFmtId="0" fontId="3" fillId="5" borderId="0" xfId="0" applyFont="1" applyFill="1"/>
    <xf numFmtId="0" fontId="2" fillId="8" borderId="0" xfId="0" applyFont="1" applyFill="1"/>
    <xf numFmtId="169" fontId="2" fillId="8" borderId="0" xfId="0" applyNumberFormat="1" applyFont="1" applyFill="1"/>
    <xf numFmtId="166" fontId="2" fillId="8" borderId="0" xfId="0" applyNumberFormat="1" applyFont="1" applyFill="1"/>
    <xf numFmtId="0" fontId="2" fillId="8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7324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Revenue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7324D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'Chart Data'!$B$1</c:f>
              <c:strCache>
                <c:ptCount val="1"/>
                <c:pt idx="0">
                  <c:v>Revenue USD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'Chart Data'!$A$2:$A$10</c:f>
              <c:numCache>
                <c:formatCode>mmm\-yy</c:formatCode>
                <c:ptCount val="9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</c:numCache>
            </c:numRef>
          </c:cat>
          <c:val>
            <c:numRef>
              <c:f>'Chart Data'!$B$2:$B$10</c:f>
              <c:numCache>
                <c:formatCode>"$"#,##0</c:formatCode>
                <c:ptCount val="9"/>
                <c:pt idx="0">
                  <c:v>536705</c:v>
                </c:pt>
                <c:pt idx="1">
                  <c:v>345177.5</c:v>
                </c:pt>
                <c:pt idx="2">
                  <c:v>306130</c:v>
                </c:pt>
                <c:pt idx="3">
                  <c:v>227642.5</c:v>
                </c:pt>
                <c:pt idx="4">
                  <c:v>486600</c:v>
                </c:pt>
                <c:pt idx="5">
                  <c:v>139867.5</c:v>
                </c:pt>
                <c:pt idx="6">
                  <c:v>514760</c:v>
                </c:pt>
                <c:pt idx="7">
                  <c:v>405595</c:v>
                </c:pt>
                <c:pt idx="8">
                  <c:v>273195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60-43DC-9293-BCF0BE5E5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6285391"/>
        <c:axId val="123728"/>
      </c:barChart>
      <c:dateAx>
        <c:axId val="180628539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728"/>
        <c:crosses val="autoZero"/>
        <c:auto val="1"/>
        <c:lblOffset val="100"/>
        <c:baseTimeUnit val="months"/>
      </c:dateAx>
      <c:valAx>
        <c:axId val="1237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285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7324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7324D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Data'!$F$1</c:f>
              <c:strCache>
                <c:ptCount val="1"/>
                <c:pt idx="0">
                  <c:v>Revenue USD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Data'!$E$2:$E$10</c:f>
              <c:strCache>
                <c:ptCount val="9"/>
                <c:pt idx="0">
                  <c:v>Southeast Asia</c:v>
                </c:pt>
                <c:pt idx="1">
                  <c:v>Greater China</c:v>
                </c:pt>
                <c:pt idx="2">
                  <c:v>Japan &amp; Korea</c:v>
                </c:pt>
                <c:pt idx="3">
                  <c:v>India</c:v>
                </c:pt>
                <c:pt idx="4">
                  <c:v>North America</c:v>
                </c:pt>
                <c:pt idx="5">
                  <c:v>Europe</c:v>
                </c:pt>
                <c:pt idx="6">
                  <c:v>GREATER CHINA</c:v>
                </c:pt>
                <c:pt idx="7">
                  <c:v>INDIA</c:v>
                </c:pt>
                <c:pt idx="8">
                  <c:v>EUROPE</c:v>
                </c:pt>
              </c:strCache>
            </c:strRef>
          </c:cat>
          <c:val>
            <c:numRef>
              <c:f>'Chart Data'!$F$2:$F$10</c:f>
              <c:numCache>
                <c:formatCode>"$"#,##0</c:formatCode>
                <c:ptCount val="9"/>
                <c:pt idx="0">
                  <c:v>811027.5</c:v>
                </c:pt>
                <c:pt idx="1">
                  <c:v>567277.5</c:v>
                </c:pt>
                <c:pt idx="2">
                  <c:v>531535</c:v>
                </c:pt>
                <c:pt idx="3">
                  <c:v>508972.5</c:v>
                </c:pt>
                <c:pt idx="4">
                  <c:v>418350</c:v>
                </c:pt>
                <c:pt idx="5">
                  <c:v>300085</c:v>
                </c:pt>
                <c:pt idx="6">
                  <c:v>49550</c:v>
                </c:pt>
                <c:pt idx="7">
                  <c:v>36675</c:v>
                </c:pt>
                <c:pt idx="8">
                  <c:v>12200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DF-422B-B84F-8822A4D817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06239919"/>
        <c:axId val="121808"/>
      </c:barChart>
      <c:catAx>
        <c:axId val="18062399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808"/>
        <c:crosses val="autoZero"/>
        <c:auto val="1"/>
        <c:lblAlgn val="ctr"/>
        <c:lblOffset val="100"/>
        <c:noMultiLvlLbl val="0"/>
      </c:catAx>
      <c:valAx>
        <c:axId val="12180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2399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7324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Delivery Status Mix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7324D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'Chart Data'!$I$1</c:f>
              <c:strCache>
                <c:ptCount val="1"/>
                <c:pt idx="0">
                  <c:v>Orders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'Chart Data'!$H$2:$H$5</c:f>
              <c:strCache>
                <c:ptCount val="4"/>
                <c:pt idx="0">
                  <c:v>On Time</c:v>
                </c:pt>
                <c:pt idx="1">
                  <c:v>At Risk</c:v>
                </c:pt>
                <c:pt idx="2">
                  <c:v>Delayed</c:v>
                </c:pt>
                <c:pt idx="3">
                  <c:v>on time</c:v>
                </c:pt>
              </c:strCache>
            </c:strRef>
          </c:cat>
          <c:val>
            <c:numRef>
              <c:f>'Chart Data'!$I$2:$I$5</c:f>
              <c:numCache>
                <c:formatCode>General</c:formatCode>
                <c:ptCount val="4"/>
                <c:pt idx="0">
                  <c:v>73</c:v>
                </c:pt>
                <c:pt idx="1">
                  <c:v>22</c:v>
                </c:pt>
                <c:pt idx="2">
                  <c:v>22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3D-4125-AEDC-5F74EB156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rgbClr val="17324D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Business Segment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rgbClr val="17324D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'Chart Data'!$L$1</c:f>
              <c:strCache>
                <c:ptCount val="1"/>
                <c:pt idx="0">
                  <c:v>Revenue USD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'Chart Data'!$K$2:$K$9</c:f>
              <c:strCache>
                <c:ptCount val="8"/>
                <c:pt idx="0">
                  <c:v>Healthcare</c:v>
                </c:pt>
                <c:pt idx="1">
                  <c:v>Transportation</c:v>
                </c:pt>
                <c:pt idx="2">
                  <c:v>Building &amp; Construction</c:v>
                </c:pt>
                <c:pt idx="3">
                  <c:v>Energy &amp; Resources</c:v>
                </c:pt>
                <c:pt idx="4">
                  <c:v>Electronics &amp; IT</c:v>
                </c:pt>
                <c:pt idx="5">
                  <c:v>Beauty &amp; Personal Care</c:v>
                </c:pt>
                <c:pt idx="6">
                  <c:v>Industrial</c:v>
                </c:pt>
                <c:pt idx="7">
                  <c:v>Coatings</c:v>
                </c:pt>
              </c:strCache>
            </c:strRef>
          </c:cat>
          <c:val>
            <c:numRef>
              <c:f>'Chart Data'!$L$2:$L$9</c:f>
              <c:numCache>
                <c:formatCode>"$"#,##0</c:formatCode>
                <c:ptCount val="8"/>
                <c:pt idx="0">
                  <c:v>626840</c:v>
                </c:pt>
                <c:pt idx="1">
                  <c:v>516945</c:v>
                </c:pt>
                <c:pt idx="2">
                  <c:v>474060</c:v>
                </c:pt>
                <c:pt idx="3">
                  <c:v>406015</c:v>
                </c:pt>
                <c:pt idx="4">
                  <c:v>377685</c:v>
                </c:pt>
                <c:pt idx="5">
                  <c:v>339230</c:v>
                </c:pt>
                <c:pt idx="6">
                  <c:v>318512.5</c:v>
                </c:pt>
                <c:pt idx="7">
                  <c:v>176385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D1-4B84-99EE-EB3B2F387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07299631"/>
        <c:axId val="133328"/>
      </c:barChart>
      <c:catAx>
        <c:axId val="18072996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328"/>
        <c:crosses val="autoZero"/>
        <c:auto val="1"/>
        <c:lblAlgn val="ctr"/>
        <c:lblOffset val="100"/>
        <c:noMultiLvlLbl val="0"/>
      </c:catAx>
      <c:valAx>
        <c:axId val="13332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29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6</xdr:col>
      <xdr:colOff>0</xdr:colOff>
      <xdr:row>24</xdr:row>
      <xdr:rowOff>0</xdr:rowOff>
    </xdr:to>
    <xdr:graphicFrame macro="">
      <xdr:nvGraphicFramePr>
        <xdr:cNvPr id="2" name="Monthly Revenue Trend">
          <a:extLst>
            <a:ext uri="{FF2B5EF4-FFF2-40B4-BE49-F238E27FC236}">
              <a16:creationId xmlns:a16="http://schemas.microsoft.com/office/drawing/2014/main" id="{45F45A57-CAAB-1C22-2B35-91DD7C705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3" name="Revenue by Region">
          <a:extLst>
            <a:ext uri="{FF2B5EF4-FFF2-40B4-BE49-F238E27FC236}">
              <a16:creationId xmlns:a16="http://schemas.microsoft.com/office/drawing/2014/main" id="{7E85408D-2599-16AD-5C0E-DB405D27F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6</xdr:col>
      <xdr:colOff>0</xdr:colOff>
      <xdr:row>40</xdr:row>
      <xdr:rowOff>0</xdr:rowOff>
    </xdr:to>
    <xdr:graphicFrame macro="">
      <xdr:nvGraphicFramePr>
        <xdr:cNvPr id="4" name="Delivery Status Mix">
          <a:extLst>
            <a:ext uri="{FF2B5EF4-FFF2-40B4-BE49-F238E27FC236}">
              <a16:creationId xmlns:a16="http://schemas.microsoft.com/office/drawing/2014/main" id="{059537F3-03F7-EA1C-61C7-69612EA60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0</xdr:colOff>
      <xdr:row>25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5" name="Revenue by Segment">
          <a:extLst>
            <a:ext uri="{FF2B5EF4-FFF2-40B4-BE49-F238E27FC236}">
              <a16:creationId xmlns:a16="http://schemas.microsoft.com/office/drawing/2014/main" id="{0B55BF4D-BA43-B8B5-DD9D-1619469592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awOrders" displayName="RawOrders" ref="A1:Q121">
  <autoFilter ref="A1:Q121" xr:uid="{00000000-0009-0000-0100-000001000000}"/>
  <tableColumns count="17">
    <tableColumn id="1" xr3:uid="{00000000-0010-0000-0000-000001000000}" name="Order ID"/>
    <tableColumn id="2" xr3:uid="{00000000-0010-0000-0000-000002000000}" name="Order Date"/>
    <tableColumn id="3" xr3:uid="{00000000-0010-0000-0000-000003000000}" name="Region"/>
    <tableColumn id="4" xr3:uid="{00000000-0010-0000-0000-000004000000}" name="Customer"/>
    <tableColumn id="5" xr3:uid="{00000000-0010-0000-0000-000005000000}" name="Product Code"/>
    <tableColumn id="6" xr3:uid="{00000000-0010-0000-0000-000006000000}" name="Business Segment"/>
    <tableColumn id="7" xr3:uid="{00000000-0010-0000-0000-000007000000}" name="Product Description"/>
    <tableColumn id="8" xr3:uid="{00000000-0010-0000-0000-000008000000}" name="Plant"/>
    <tableColumn id="9" xr3:uid="{00000000-0010-0000-0000-000009000000}" name="Quantity kg"/>
    <tableColumn id="10" xr3:uid="{00000000-0010-0000-0000-00000A000000}" name="Unit Price USD"/>
    <tableColumn id="11" xr3:uid="{00000000-0010-0000-0000-00000B000000}" name="Revenue USD"/>
    <tableColumn id="12" xr3:uid="{00000000-0010-0000-0000-00000C000000}" name="Quality Score"/>
    <tableColumn id="13" xr3:uid="{00000000-0010-0000-0000-00000D000000}" name="Delivery Status"/>
    <tableColumn id="14" xr3:uid="{00000000-0010-0000-0000-00000E000000}" name="Lead Time Days"/>
    <tableColumn id="15" xr3:uid="{00000000-0010-0000-0000-00000F000000}" name="CO2e kg"/>
    <tableColumn id="16" xr3:uid="{00000000-0010-0000-0000-000010000000}" name="Sales Rep"/>
    <tableColumn id="17" xr3:uid="{00000000-0010-0000-0000-000011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21"/>
  <sheetViews>
    <sheetView tabSelected="1" workbookViewId="0">
      <pane ySplit="1" topLeftCell="A2" activePane="bottomLeft" state="frozen"/>
      <selection pane="bottomLeft" activeCell="F10" sqref="F10"/>
    </sheetView>
  </sheetViews>
  <sheetFormatPr defaultRowHeight="15" x14ac:dyDescent="0.25"/>
  <cols>
    <col min="1" max="1" width="13" customWidth="1"/>
    <col min="2" max="2" width="12" customWidth="1"/>
    <col min="3" max="3" width="19" customWidth="1"/>
    <col min="4" max="4" width="22" customWidth="1"/>
    <col min="5" max="5" width="15" customWidth="1"/>
    <col min="6" max="6" width="24" customWidth="1"/>
    <col min="7" max="7" width="30" customWidth="1"/>
    <col min="8" max="8" width="14" customWidth="1"/>
    <col min="9" max="9" width="13" customWidth="1"/>
    <col min="10" max="10" width="14" customWidth="1"/>
    <col min="11" max="11" width="15" customWidth="1"/>
    <col min="12" max="12" width="13" customWidth="1"/>
    <col min="13" max="13" width="16" customWidth="1"/>
    <col min="14" max="14" width="15" customWidth="1"/>
    <col min="15" max="15" width="13" customWidth="1"/>
    <col min="16" max="16" width="12" customWidth="1"/>
    <col min="17" max="17" width="25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2" t="s">
        <v>17</v>
      </c>
      <c r="B2" s="3">
        <v>46035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4">
        <v>1250</v>
      </c>
      <c r="J2" s="4">
        <v>9.5</v>
      </c>
      <c r="K2" s="4">
        <v>11875</v>
      </c>
      <c r="L2" s="2">
        <v>80.2</v>
      </c>
      <c r="M2" s="2" t="s">
        <v>24</v>
      </c>
      <c r="N2" s="2">
        <v>13</v>
      </c>
      <c r="O2" s="2">
        <v>1686.9</v>
      </c>
      <c r="P2" s="2" t="s">
        <v>25</v>
      </c>
      <c r="Q2" s="2"/>
    </row>
    <row r="3" spans="1:17" x14ac:dyDescent="0.25">
      <c r="A3" s="2" t="s">
        <v>26</v>
      </c>
      <c r="B3" s="3">
        <v>46134</v>
      </c>
      <c r="C3" s="2" t="s">
        <v>27</v>
      </c>
      <c r="D3" s="2" t="s">
        <v>28</v>
      </c>
      <c r="E3" s="2" t="s">
        <v>20</v>
      </c>
      <c r="F3" s="2" t="s">
        <v>21</v>
      </c>
      <c r="G3" s="2" t="s">
        <v>22</v>
      </c>
      <c r="H3" s="2" t="s">
        <v>29</v>
      </c>
      <c r="I3" s="4">
        <v>1250</v>
      </c>
      <c r="J3" s="4">
        <v>21.89</v>
      </c>
      <c r="K3" s="4">
        <v>27362.5</v>
      </c>
      <c r="L3" s="2">
        <v>93.1</v>
      </c>
      <c r="M3" s="2" t="s">
        <v>30</v>
      </c>
      <c r="N3" s="2">
        <v>22</v>
      </c>
      <c r="O3" s="2">
        <v>1492.7</v>
      </c>
      <c r="P3" s="2" t="s">
        <v>31</v>
      </c>
      <c r="Q3" s="2"/>
    </row>
    <row r="4" spans="1:17" x14ac:dyDescent="0.25">
      <c r="A4" s="2" t="s">
        <v>32</v>
      </c>
      <c r="B4" s="3">
        <v>46239</v>
      </c>
      <c r="C4" s="2" t="s">
        <v>33</v>
      </c>
      <c r="D4" s="2" t="s">
        <v>19</v>
      </c>
      <c r="E4" s="2" t="s">
        <v>34</v>
      </c>
      <c r="F4" s="2" t="s">
        <v>35</v>
      </c>
      <c r="G4" s="2" t="s">
        <v>36</v>
      </c>
      <c r="H4" s="2" t="s">
        <v>23</v>
      </c>
      <c r="I4" s="4">
        <v>1250</v>
      </c>
      <c r="J4" s="4">
        <v>27.08</v>
      </c>
      <c r="K4" s="4">
        <v>33850</v>
      </c>
      <c r="L4" s="2">
        <v>85.2</v>
      </c>
      <c r="M4" s="2" t="s">
        <v>37</v>
      </c>
      <c r="N4" s="2">
        <v>32</v>
      </c>
      <c r="O4" s="2">
        <v>1008</v>
      </c>
      <c r="P4" s="2" t="s">
        <v>31</v>
      </c>
      <c r="Q4" s="2" t="s">
        <v>38</v>
      </c>
    </row>
    <row r="5" spans="1:17" x14ac:dyDescent="0.25">
      <c r="A5" s="2" t="s">
        <v>39</v>
      </c>
      <c r="B5" s="3">
        <v>46045</v>
      </c>
      <c r="C5" s="2" t="s">
        <v>18</v>
      </c>
      <c r="D5" s="2" t="s">
        <v>40</v>
      </c>
      <c r="E5" s="2" t="s">
        <v>41</v>
      </c>
      <c r="F5" s="2" t="s">
        <v>42</v>
      </c>
      <c r="G5" s="2" t="s">
        <v>43</v>
      </c>
      <c r="H5" s="2" t="s">
        <v>29</v>
      </c>
      <c r="I5" s="4">
        <v>750</v>
      </c>
      <c r="J5" s="4">
        <v>27.42</v>
      </c>
      <c r="K5" s="4">
        <v>20565</v>
      </c>
      <c r="L5" s="2">
        <v>86.1</v>
      </c>
      <c r="M5" s="2" t="s">
        <v>24</v>
      </c>
      <c r="N5" s="2">
        <v>26</v>
      </c>
      <c r="O5" s="2">
        <v>1209.3</v>
      </c>
      <c r="P5" s="2" t="s">
        <v>44</v>
      </c>
      <c r="Q5" s="2" t="s">
        <v>45</v>
      </c>
    </row>
    <row r="6" spans="1:17" x14ac:dyDescent="0.25">
      <c r="A6" s="2" t="s">
        <v>46</v>
      </c>
      <c r="B6" s="3">
        <v>46058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4">
        <v>750</v>
      </c>
      <c r="J6" s="4">
        <v>24.89</v>
      </c>
      <c r="K6" s="4">
        <v>18667.5</v>
      </c>
      <c r="L6" s="2">
        <v>96.6</v>
      </c>
      <c r="M6" s="2" t="s">
        <v>30</v>
      </c>
      <c r="N6" s="2">
        <v>25</v>
      </c>
      <c r="O6" s="2">
        <v>899.1</v>
      </c>
      <c r="P6" s="2" t="s">
        <v>31</v>
      </c>
      <c r="Q6" s="2" t="s">
        <v>53</v>
      </c>
    </row>
    <row r="7" spans="1:17" x14ac:dyDescent="0.25">
      <c r="A7" s="2" t="s">
        <v>54</v>
      </c>
      <c r="B7" s="3">
        <v>46204</v>
      </c>
      <c r="C7" s="2" t="s">
        <v>27</v>
      </c>
      <c r="D7" s="2" t="s">
        <v>19</v>
      </c>
      <c r="E7" s="2" t="s">
        <v>55</v>
      </c>
      <c r="F7" s="2" t="s">
        <v>56</v>
      </c>
      <c r="G7" s="2" t="s">
        <v>57</v>
      </c>
      <c r="H7" s="2" t="s">
        <v>58</v>
      </c>
      <c r="I7" s="4">
        <v>1000</v>
      </c>
      <c r="J7" s="4">
        <v>17.98</v>
      </c>
      <c r="K7" s="4">
        <v>17980</v>
      </c>
      <c r="L7" s="2">
        <v>83.3</v>
      </c>
      <c r="M7" s="2" t="s">
        <v>30</v>
      </c>
      <c r="N7" s="2">
        <v>32</v>
      </c>
      <c r="O7" s="2">
        <v>996.9</v>
      </c>
      <c r="P7" s="2" t="s">
        <v>44</v>
      </c>
      <c r="Q7" s="2" t="s">
        <v>53</v>
      </c>
    </row>
    <row r="8" spans="1:17" x14ac:dyDescent="0.25">
      <c r="A8" s="2" t="s">
        <v>59</v>
      </c>
      <c r="B8" s="3">
        <v>46051</v>
      </c>
      <c r="C8" s="2" t="s">
        <v>27</v>
      </c>
      <c r="D8" s="2" t="s">
        <v>60</v>
      </c>
      <c r="E8" s="2" t="s">
        <v>55</v>
      </c>
      <c r="F8" s="2" t="s">
        <v>56</v>
      </c>
      <c r="G8" s="2" t="s">
        <v>57</v>
      </c>
      <c r="H8" s="2" t="s">
        <v>52</v>
      </c>
      <c r="I8" s="4">
        <v>2500</v>
      </c>
      <c r="J8" s="4">
        <v>12.26</v>
      </c>
      <c r="K8" s="4">
        <v>30650</v>
      </c>
      <c r="L8" s="2">
        <v>82.5</v>
      </c>
      <c r="M8" s="2" t="s">
        <v>24</v>
      </c>
      <c r="N8" s="2">
        <v>28</v>
      </c>
      <c r="O8" s="2">
        <v>2334.6999999999998</v>
      </c>
      <c r="P8" s="2" t="s">
        <v>61</v>
      </c>
      <c r="Q8" s="2" t="s">
        <v>62</v>
      </c>
    </row>
    <row r="9" spans="1:17" x14ac:dyDescent="0.25">
      <c r="A9" s="2" t="s">
        <v>63</v>
      </c>
      <c r="B9" s="3">
        <v>46096</v>
      </c>
      <c r="C9" s="2" t="s">
        <v>33</v>
      </c>
      <c r="D9" s="2" t="s">
        <v>64</v>
      </c>
      <c r="E9" s="2" t="s">
        <v>65</v>
      </c>
      <c r="F9" s="2" t="s">
        <v>66</v>
      </c>
      <c r="G9" s="2" t="s">
        <v>67</v>
      </c>
      <c r="H9" s="2" t="s">
        <v>23</v>
      </c>
      <c r="I9" s="4">
        <v>1500</v>
      </c>
      <c r="J9" s="4">
        <v>22.56</v>
      </c>
      <c r="K9" s="4">
        <v>33840</v>
      </c>
      <c r="L9" s="2">
        <v>87.2</v>
      </c>
      <c r="M9" s="2" t="s">
        <v>24</v>
      </c>
      <c r="N9" s="2">
        <v>33</v>
      </c>
      <c r="O9" s="2">
        <v>1647.3</v>
      </c>
      <c r="P9" s="2" t="s">
        <v>68</v>
      </c>
      <c r="Q9" s="2" t="s">
        <v>38</v>
      </c>
    </row>
    <row r="10" spans="1:17" x14ac:dyDescent="0.25">
      <c r="A10" s="2" t="s">
        <v>69</v>
      </c>
      <c r="B10" s="3">
        <v>46069</v>
      </c>
      <c r="C10" s="2" t="s">
        <v>47</v>
      </c>
      <c r="D10" s="2" t="s">
        <v>70</v>
      </c>
      <c r="E10" s="2" t="s">
        <v>65</v>
      </c>
      <c r="F10" s="2" t="s">
        <v>66</v>
      </c>
      <c r="G10" s="2" t="s">
        <v>67</v>
      </c>
      <c r="H10" s="2" t="s">
        <v>23</v>
      </c>
      <c r="I10" s="4">
        <v>1000</v>
      </c>
      <c r="J10" s="4">
        <v>23.53</v>
      </c>
      <c r="K10" s="4">
        <v>23530</v>
      </c>
      <c r="L10" s="2">
        <v>87.1</v>
      </c>
      <c r="M10" s="2" t="s">
        <v>37</v>
      </c>
      <c r="N10" s="2">
        <v>32</v>
      </c>
      <c r="O10" s="2">
        <v>1119.8</v>
      </c>
      <c r="P10" s="2" t="s">
        <v>61</v>
      </c>
      <c r="Q10" s="2" t="s">
        <v>38</v>
      </c>
    </row>
    <row r="11" spans="1:17" x14ac:dyDescent="0.25">
      <c r="A11" s="2" t="s">
        <v>71</v>
      </c>
      <c r="B11" s="3">
        <v>46028</v>
      </c>
      <c r="C11" s="2" t="s">
        <v>18</v>
      </c>
      <c r="D11" s="2" t="s">
        <v>70</v>
      </c>
      <c r="E11" s="2" t="s">
        <v>41</v>
      </c>
      <c r="F11" s="2" t="s">
        <v>42</v>
      </c>
      <c r="G11" s="2" t="s">
        <v>43</v>
      </c>
      <c r="H11" s="2" t="s">
        <v>29</v>
      </c>
      <c r="I11" s="4">
        <v>1500</v>
      </c>
      <c r="J11" s="4">
        <v>23.02</v>
      </c>
      <c r="K11" s="4">
        <v>34530</v>
      </c>
      <c r="L11" s="2">
        <v>85.3</v>
      </c>
      <c r="M11" s="2" t="s">
        <v>37</v>
      </c>
      <c r="N11" s="2">
        <v>35</v>
      </c>
      <c r="O11" s="2">
        <v>1311</v>
      </c>
      <c r="P11" s="2" t="s">
        <v>25</v>
      </c>
      <c r="Q11" s="2"/>
    </row>
    <row r="12" spans="1:17" x14ac:dyDescent="0.25">
      <c r="A12" s="2" t="s">
        <v>72</v>
      </c>
      <c r="B12" s="3">
        <v>46279</v>
      </c>
      <c r="C12" s="2" t="s">
        <v>27</v>
      </c>
      <c r="D12" s="2" t="s">
        <v>70</v>
      </c>
      <c r="E12" s="2" t="s">
        <v>41</v>
      </c>
      <c r="F12" s="2" t="s">
        <v>42</v>
      </c>
      <c r="G12" s="2" t="s">
        <v>43</v>
      </c>
      <c r="H12" s="2" t="s">
        <v>52</v>
      </c>
      <c r="I12" s="4">
        <v>1250</v>
      </c>
      <c r="J12" s="4">
        <v>9.7899999999999991</v>
      </c>
      <c r="K12" s="4">
        <v>12237.5</v>
      </c>
      <c r="L12" s="2">
        <v>94.4</v>
      </c>
      <c r="M12" s="2" t="s">
        <v>24</v>
      </c>
      <c r="N12" s="2">
        <v>41</v>
      </c>
      <c r="O12" s="2">
        <v>2137.9</v>
      </c>
      <c r="P12" s="2" t="s">
        <v>44</v>
      </c>
      <c r="Q12" s="2" t="s">
        <v>45</v>
      </c>
    </row>
    <row r="13" spans="1:17" x14ac:dyDescent="0.25">
      <c r="A13" s="2" t="s">
        <v>73</v>
      </c>
      <c r="B13" s="3">
        <v>46032</v>
      </c>
      <c r="C13" s="2" t="s">
        <v>47</v>
      </c>
      <c r="D13" s="2" t="s">
        <v>74</v>
      </c>
      <c r="E13" s="2" t="s">
        <v>65</v>
      </c>
      <c r="F13" s="2" t="s">
        <v>66</v>
      </c>
      <c r="G13" s="2" t="s">
        <v>67</v>
      </c>
      <c r="H13" s="2" t="s">
        <v>52</v>
      </c>
      <c r="I13" s="4">
        <v>1250</v>
      </c>
      <c r="J13" s="4">
        <v>7.75</v>
      </c>
      <c r="K13" s="4">
        <v>9687.5</v>
      </c>
      <c r="L13" s="2">
        <v>96.9</v>
      </c>
      <c r="M13" s="2" t="s">
        <v>37</v>
      </c>
      <c r="N13" s="2">
        <v>13</v>
      </c>
      <c r="O13" s="2">
        <v>1881.4</v>
      </c>
      <c r="P13" s="2" t="s">
        <v>25</v>
      </c>
      <c r="Q13" s="2" t="s">
        <v>38</v>
      </c>
    </row>
    <row r="14" spans="1:17" x14ac:dyDescent="0.25">
      <c r="A14" s="2" t="s">
        <v>75</v>
      </c>
      <c r="B14" s="3">
        <v>46088</v>
      </c>
      <c r="C14" s="2" t="s">
        <v>76</v>
      </c>
      <c r="D14" s="2" t="s">
        <v>40</v>
      </c>
      <c r="E14" s="2" t="s">
        <v>34</v>
      </c>
      <c r="F14" s="2" t="s">
        <v>35</v>
      </c>
      <c r="G14" s="2" t="s">
        <v>36</v>
      </c>
      <c r="H14" s="2" t="s">
        <v>29</v>
      </c>
      <c r="I14" s="4">
        <v>1000</v>
      </c>
      <c r="J14" s="4">
        <v>12.2</v>
      </c>
      <c r="K14" s="4">
        <v>12200</v>
      </c>
      <c r="L14" s="2">
        <v>96.8</v>
      </c>
      <c r="M14" s="2" t="s">
        <v>30</v>
      </c>
      <c r="N14" s="2">
        <v>21</v>
      </c>
      <c r="O14" s="2">
        <v>1721.8</v>
      </c>
      <c r="P14" s="2" t="s">
        <v>68</v>
      </c>
      <c r="Q14" s="2"/>
    </row>
    <row r="15" spans="1:17" x14ac:dyDescent="0.25">
      <c r="A15" s="2" t="s">
        <v>77</v>
      </c>
      <c r="B15" s="3">
        <v>46227</v>
      </c>
      <c r="C15" s="2" t="s">
        <v>18</v>
      </c>
      <c r="D15" s="2" t="s">
        <v>74</v>
      </c>
      <c r="E15" s="2" t="s">
        <v>41</v>
      </c>
      <c r="F15" s="2" t="s">
        <v>42</v>
      </c>
      <c r="G15" s="2" t="s">
        <v>43</v>
      </c>
      <c r="H15" s="2" t="s">
        <v>78</v>
      </c>
      <c r="I15" s="4">
        <v>3000</v>
      </c>
      <c r="J15" s="4">
        <v>9.1</v>
      </c>
      <c r="K15" s="4">
        <v>27300</v>
      </c>
      <c r="L15" s="2">
        <v>82.8</v>
      </c>
      <c r="M15" s="2" t="s">
        <v>37</v>
      </c>
      <c r="N15" s="2">
        <v>9</v>
      </c>
      <c r="O15" s="2">
        <v>4041.4</v>
      </c>
      <c r="P15" s="2" t="s">
        <v>68</v>
      </c>
      <c r="Q15" s="2" t="s">
        <v>38</v>
      </c>
    </row>
    <row r="16" spans="1:17" x14ac:dyDescent="0.25">
      <c r="A16" s="2" t="s">
        <v>79</v>
      </c>
      <c r="B16" s="3">
        <v>46026</v>
      </c>
      <c r="C16" s="2" t="s">
        <v>47</v>
      </c>
      <c r="D16" s="2" t="s">
        <v>28</v>
      </c>
      <c r="E16" s="2" t="s">
        <v>49</v>
      </c>
      <c r="F16" s="2" t="s">
        <v>50</v>
      </c>
      <c r="G16" s="2" t="s">
        <v>51</v>
      </c>
      <c r="H16" s="2" t="s">
        <v>23</v>
      </c>
      <c r="I16" s="4">
        <v>750</v>
      </c>
      <c r="J16" s="4">
        <v>25.97</v>
      </c>
      <c r="K16" s="4">
        <v>19477.5</v>
      </c>
      <c r="L16" s="2">
        <v>96.5</v>
      </c>
      <c r="M16" s="2" t="s">
        <v>37</v>
      </c>
      <c r="N16" s="2">
        <v>40</v>
      </c>
      <c r="O16" s="2">
        <v>721.4</v>
      </c>
      <c r="P16" s="2" t="s">
        <v>61</v>
      </c>
      <c r="Q16" s="2" t="s">
        <v>53</v>
      </c>
    </row>
    <row r="17" spans="1:17" x14ac:dyDescent="0.25">
      <c r="A17" s="2" t="s">
        <v>80</v>
      </c>
      <c r="B17" s="3">
        <v>46265</v>
      </c>
      <c r="C17" s="2" t="s">
        <v>27</v>
      </c>
      <c r="D17" s="2" t="s">
        <v>40</v>
      </c>
      <c r="E17" s="2" t="s">
        <v>34</v>
      </c>
      <c r="F17" s="2" t="s">
        <v>35</v>
      </c>
      <c r="G17" s="2" t="s">
        <v>36</v>
      </c>
      <c r="H17" s="2" t="s">
        <v>78</v>
      </c>
      <c r="I17" s="4">
        <v>1250</v>
      </c>
      <c r="J17" s="4">
        <v>8.5299999999999994</v>
      </c>
      <c r="K17" s="4">
        <v>10662.5</v>
      </c>
      <c r="L17" s="2">
        <v>92.2</v>
      </c>
      <c r="M17" s="2" t="s">
        <v>37</v>
      </c>
      <c r="N17" s="2">
        <v>35</v>
      </c>
      <c r="O17" s="2">
        <v>1440.3</v>
      </c>
      <c r="P17" s="2" t="s">
        <v>25</v>
      </c>
      <c r="Q17" s="2"/>
    </row>
    <row r="18" spans="1:17" x14ac:dyDescent="0.25">
      <c r="A18" s="2" t="s">
        <v>81</v>
      </c>
      <c r="B18" s="3">
        <v>46054</v>
      </c>
      <c r="C18" s="2" t="s">
        <v>82</v>
      </c>
      <c r="D18" s="2" t="s">
        <v>74</v>
      </c>
      <c r="E18" s="2" t="s">
        <v>20</v>
      </c>
      <c r="F18" s="2" t="s">
        <v>21</v>
      </c>
      <c r="G18" s="2" t="s">
        <v>22</v>
      </c>
      <c r="H18" s="2" t="s">
        <v>58</v>
      </c>
      <c r="I18" s="4">
        <v>1250</v>
      </c>
      <c r="J18" s="4">
        <v>10.62</v>
      </c>
      <c r="K18" s="4">
        <v>13275</v>
      </c>
      <c r="L18" s="2">
        <v>89.5</v>
      </c>
      <c r="M18" s="2" t="s">
        <v>37</v>
      </c>
      <c r="N18" s="2">
        <v>35</v>
      </c>
      <c r="O18" s="2">
        <v>1127.3</v>
      </c>
      <c r="P18" s="2" t="s">
        <v>61</v>
      </c>
      <c r="Q18" s="2" t="s">
        <v>53</v>
      </c>
    </row>
    <row r="19" spans="1:17" x14ac:dyDescent="0.25">
      <c r="A19" s="2" t="s">
        <v>83</v>
      </c>
      <c r="B19" s="3">
        <v>46249</v>
      </c>
      <c r="C19" s="2" t="s">
        <v>84</v>
      </c>
      <c r="D19" s="2" t="s">
        <v>70</v>
      </c>
      <c r="E19" s="2" t="s">
        <v>20</v>
      </c>
      <c r="F19" s="2" t="s">
        <v>21</v>
      </c>
      <c r="G19" s="2" t="s">
        <v>22</v>
      </c>
      <c r="H19" s="2" t="s">
        <v>58</v>
      </c>
      <c r="I19" s="4">
        <v>500</v>
      </c>
      <c r="J19" s="4">
        <v>27.33</v>
      </c>
      <c r="K19" s="4">
        <v>13665</v>
      </c>
      <c r="L19" s="2">
        <v>97.9</v>
      </c>
      <c r="M19" s="2" t="s">
        <v>85</v>
      </c>
      <c r="N19" s="2">
        <v>18</v>
      </c>
      <c r="O19" s="2">
        <v>573.5</v>
      </c>
      <c r="P19" s="2" t="s">
        <v>61</v>
      </c>
      <c r="Q19" s="2" t="s">
        <v>53</v>
      </c>
    </row>
    <row r="20" spans="1:17" x14ac:dyDescent="0.25">
      <c r="A20" s="2" t="s">
        <v>86</v>
      </c>
      <c r="B20" s="3">
        <v>46053</v>
      </c>
      <c r="C20" s="2" t="s">
        <v>27</v>
      </c>
      <c r="D20" s="2" t="s">
        <v>87</v>
      </c>
      <c r="E20" s="2" t="s">
        <v>88</v>
      </c>
      <c r="F20" s="2" t="s">
        <v>89</v>
      </c>
      <c r="G20" s="2" t="s">
        <v>90</v>
      </c>
      <c r="H20" s="2" t="s">
        <v>58</v>
      </c>
      <c r="I20" s="4">
        <v>2500</v>
      </c>
      <c r="J20" s="4">
        <v>12.2</v>
      </c>
      <c r="K20" s="4">
        <v>30500</v>
      </c>
      <c r="L20" s="2">
        <v>94.9</v>
      </c>
      <c r="M20" s="2" t="s">
        <v>30</v>
      </c>
      <c r="N20" s="2">
        <v>26</v>
      </c>
      <c r="O20" s="2">
        <v>2913.3</v>
      </c>
      <c r="P20" s="2" t="s">
        <v>44</v>
      </c>
      <c r="Q20" s="2"/>
    </row>
    <row r="21" spans="1:17" x14ac:dyDescent="0.25">
      <c r="A21" s="2" t="s">
        <v>91</v>
      </c>
      <c r="B21" s="3">
        <v>46102</v>
      </c>
      <c r="C21" s="2" t="s">
        <v>27</v>
      </c>
      <c r="D21" s="2" t="s">
        <v>19</v>
      </c>
      <c r="E21" s="2" t="s">
        <v>65</v>
      </c>
      <c r="F21" s="2" t="s">
        <v>66</v>
      </c>
      <c r="G21" s="2" t="s">
        <v>67</v>
      </c>
      <c r="H21" s="2" t="s">
        <v>23</v>
      </c>
      <c r="I21" s="4">
        <v>500</v>
      </c>
      <c r="J21" s="4">
        <v>18.95</v>
      </c>
      <c r="K21" s="4">
        <v>9475</v>
      </c>
      <c r="L21" s="2">
        <v>89.7</v>
      </c>
      <c r="M21" s="2" t="s">
        <v>37</v>
      </c>
      <c r="N21" s="2">
        <v>11</v>
      </c>
      <c r="O21" s="2">
        <v>377.6</v>
      </c>
      <c r="P21" s="2" t="s">
        <v>61</v>
      </c>
      <c r="Q21" s="2" t="s">
        <v>38</v>
      </c>
    </row>
    <row r="22" spans="1:17" x14ac:dyDescent="0.25">
      <c r="A22" s="2" t="s">
        <v>92</v>
      </c>
      <c r="B22" s="3">
        <v>46052</v>
      </c>
      <c r="C22" s="2" t="s">
        <v>84</v>
      </c>
      <c r="D22" s="2" t="s">
        <v>70</v>
      </c>
      <c r="E22" s="2" t="s">
        <v>34</v>
      </c>
      <c r="F22" s="2" t="s">
        <v>35</v>
      </c>
      <c r="G22" s="2" t="s">
        <v>36</v>
      </c>
      <c r="H22" s="2" t="s">
        <v>23</v>
      </c>
      <c r="I22" s="4">
        <v>750</v>
      </c>
      <c r="J22" s="4">
        <v>19.29</v>
      </c>
      <c r="K22" s="4">
        <v>14467.5</v>
      </c>
      <c r="L22" s="2">
        <v>92.5</v>
      </c>
      <c r="M22" s="2" t="s">
        <v>37</v>
      </c>
      <c r="N22" s="2">
        <v>33</v>
      </c>
      <c r="O22" s="2">
        <v>623.9</v>
      </c>
      <c r="P22" s="2" t="s">
        <v>44</v>
      </c>
      <c r="Q22" s="2" t="s">
        <v>53</v>
      </c>
    </row>
    <row r="23" spans="1:17" x14ac:dyDescent="0.25">
      <c r="A23" s="2" t="s">
        <v>93</v>
      </c>
      <c r="B23" s="3">
        <v>46064</v>
      </c>
      <c r="C23" s="2" t="s">
        <v>82</v>
      </c>
      <c r="D23" s="2" t="s">
        <v>74</v>
      </c>
      <c r="E23" s="2" t="s">
        <v>94</v>
      </c>
      <c r="F23" s="2" t="s">
        <v>95</v>
      </c>
      <c r="G23" s="2" t="s">
        <v>96</v>
      </c>
      <c r="H23" s="2" t="s">
        <v>52</v>
      </c>
      <c r="I23" s="4">
        <v>1250</v>
      </c>
      <c r="J23" s="4">
        <v>20.9</v>
      </c>
      <c r="K23" s="4">
        <v>26125</v>
      </c>
      <c r="L23" s="2">
        <v>84.8</v>
      </c>
      <c r="M23" s="2" t="s">
        <v>37</v>
      </c>
      <c r="N23" s="2">
        <v>33</v>
      </c>
      <c r="O23" s="2">
        <v>1055</v>
      </c>
      <c r="P23" s="2" t="s">
        <v>31</v>
      </c>
      <c r="Q23" s="2" t="s">
        <v>62</v>
      </c>
    </row>
    <row r="24" spans="1:17" x14ac:dyDescent="0.25">
      <c r="A24" s="2" t="s">
        <v>97</v>
      </c>
      <c r="B24" s="3">
        <v>46060</v>
      </c>
      <c r="C24" s="2" t="s">
        <v>47</v>
      </c>
      <c r="D24" s="2" t="s">
        <v>40</v>
      </c>
      <c r="E24" s="2" t="s">
        <v>55</v>
      </c>
      <c r="F24" s="2" t="s">
        <v>56</v>
      </c>
      <c r="G24" s="2" t="s">
        <v>57</v>
      </c>
      <c r="H24" s="2" t="s">
        <v>29</v>
      </c>
      <c r="I24" s="4">
        <v>750</v>
      </c>
      <c r="J24" s="4">
        <v>8.08</v>
      </c>
      <c r="K24" s="4">
        <v>6060</v>
      </c>
      <c r="L24" s="2">
        <v>82.6</v>
      </c>
      <c r="M24" s="2" t="s">
        <v>37</v>
      </c>
      <c r="N24" s="2">
        <v>16</v>
      </c>
      <c r="O24" s="2">
        <v>1294.9000000000001</v>
      </c>
      <c r="P24" s="2" t="s">
        <v>25</v>
      </c>
      <c r="Q24" s="2" t="s">
        <v>53</v>
      </c>
    </row>
    <row r="25" spans="1:17" x14ac:dyDescent="0.25">
      <c r="A25" s="2" t="s">
        <v>98</v>
      </c>
      <c r="B25" s="3">
        <v>46168</v>
      </c>
      <c r="C25" s="2" t="s">
        <v>27</v>
      </c>
      <c r="D25" s="2" t="s">
        <v>99</v>
      </c>
      <c r="E25" s="2" t="s">
        <v>55</v>
      </c>
      <c r="F25" s="2" t="s">
        <v>56</v>
      </c>
      <c r="G25" s="2" t="s">
        <v>57</v>
      </c>
      <c r="H25" s="2" t="s">
        <v>29</v>
      </c>
      <c r="I25" s="4">
        <v>1500</v>
      </c>
      <c r="J25" s="4">
        <v>19.649999999999999</v>
      </c>
      <c r="K25" s="4">
        <v>29475</v>
      </c>
      <c r="L25" s="2">
        <v>99.2</v>
      </c>
      <c r="M25" s="2" t="s">
        <v>24</v>
      </c>
      <c r="N25" s="2">
        <v>8</v>
      </c>
      <c r="O25" s="2">
        <v>2152</v>
      </c>
      <c r="P25" s="2" t="s">
        <v>44</v>
      </c>
      <c r="Q25" s="2" t="s">
        <v>45</v>
      </c>
    </row>
    <row r="26" spans="1:17" x14ac:dyDescent="0.25">
      <c r="A26" s="2" t="s">
        <v>100</v>
      </c>
      <c r="B26" s="3">
        <v>46091</v>
      </c>
      <c r="C26" s="2" t="s">
        <v>33</v>
      </c>
      <c r="D26" s="2" t="s">
        <v>70</v>
      </c>
      <c r="E26" s="2" t="s">
        <v>20</v>
      </c>
      <c r="F26" s="2" t="s">
        <v>21</v>
      </c>
      <c r="G26" s="2" t="s">
        <v>22</v>
      </c>
      <c r="H26" s="2" t="s">
        <v>58</v>
      </c>
      <c r="I26" s="4">
        <v>1000</v>
      </c>
      <c r="J26" s="4">
        <v>12.36</v>
      </c>
      <c r="K26" s="4">
        <v>12360</v>
      </c>
      <c r="L26" s="2">
        <v>91</v>
      </c>
      <c r="M26" s="2" t="s">
        <v>37</v>
      </c>
      <c r="N26" s="2">
        <v>21</v>
      </c>
      <c r="O26" s="2">
        <v>1456.2</v>
      </c>
      <c r="P26" s="2" t="s">
        <v>31</v>
      </c>
      <c r="Q26" s="2" t="s">
        <v>38</v>
      </c>
    </row>
    <row r="27" spans="1:17" x14ac:dyDescent="0.25">
      <c r="A27" s="2" t="s">
        <v>101</v>
      </c>
      <c r="B27" s="3">
        <v>46151</v>
      </c>
      <c r="C27" s="2" t="s">
        <v>47</v>
      </c>
      <c r="D27" s="2" t="s">
        <v>70</v>
      </c>
      <c r="E27" s="2" t="s">
        <v>65</v>
      </c>
      <c r="F27" s="2" t="s">
        <v>66</v>
      </c>
      <c r="G27" s="2" t="s">
        <v>67</v>
      </c>
      <c r="H27" s="2" t="s">
        <v>78</v>
      </c>
      <c r="I27" s="4">
        <v>1500</v>
      </c>
      <c r="J27" s="4">
        <v>7.45</v>
      </c>
      <c r="K27" s="4">
        <v>11175</v>
      </c>
      <c r="L27" s="2">
        <v>85.2</v>
      </c>
      <c r="M27" s="2" t="s">
        <v>37</v>
      </c>
      <c r="N27" s="2">
        <v>24</v>
      </c>
      <c r="O27" s="2">
        <v>1316.6</v>
      </c>
      <c r="P27" s="2" t="s">
        <v>61</v>
      </c>
      <c r="Q27" s="2" t="s">
        <v>38</v>
      </c>
    </row>
    <row r="28" spans="1:17" x14ac:dyDescent="0.25">
      <c r="A28" s="2" t="s">
        <v>102</v>
      </c>
      <c r="B28" s="3">
        <v>46027</v>
      </c>
      <c r="C28" s="2" t="s">
        <v>47</v>
      </c>
      <c r="D28" s="2" t="s">
        <v>70</v>
      </c>
      <c r="E28" s="2" t="s">
        <v>88</v>
      </c>
      <c r="F28" s="2" t="s">
        <v>89</v>
      </c>
      <c r="G28" s="2" t="s">
        <v>90</v>
      </c>
      <c r="H28" s="2" t="s">
        <v>23</v>
      </c>
      <c r="I28" s="4">
        <v>500</v>
      </c>
      <c r="J28" s="4">
        <v>24.44</v>
      </c>
      <c r="K28" s="4">
        <v>12220</v>
      </c>
      <c r="L28" s="2">
        <v>90.5</v>
      </c>
      <c r="M28" s="2" t="s">
        <v>37</v>
      </c>
      <c r="N28" s="2">
        <v>35</v>
      </c>
      <c r="O28" s="2">
        <v>420.1</v>
      </c>
      <c r="P28" s="2" t="s">
        <v>31</v>
      </c>
      <c r="Q28" s="2" t="s">
        <v>45</v>
      </c>
    </row>
    <row r="29" spans="1:17" x14ac:dyDescent="0.25">
      <c r="A29" s="2" t="s">
        <v>103</v>
      </c>
      <c r="B29" s="3">
        <v>46206</v>
      </c>
      <c r="C29" s="2" t="s">
        <v>27</v>
      </c>
      <c r="D29" s="2" t="s">
        <v>48</v>
      </c>
      <c r="E29" s="2" t="s">
        <v>104</v>
      </c>
      <c r="F29" s="2" t="s">
        <v>95</v>
      </c>
      <c r="G29" s="2" t="s">
        <v>96</v>
      </c>
      <c r="H29" s="2" t="s">
        <v>58</v>
      </c>
      <c r="I29" s="4">
        <v>2000</v>
      </c>
      <c r="J29" s="4">
        <v>23.27</v>
      </c>
      <c r="K29" s="4">
        <v>46540</v>
      </c>
      <c r="L29" s="2">
        <v>97</v>
      </c>
      <c r="M29" s="2" t="s">
        <v>30</v>
      </c>
      <c r="N29" s="2">
        <v>17</v>
      </c>
      <c r="O29" s="2">
        <v>3436.7</v>
      </c>
      <c r="P29" s="2" t="s">
        <v>68</v>
      </c>
      <c r="Q29" s="2" t="s">
        <v>53</v>
      </c>
    </row>
    <row r="30" spans="1:17" x14ac:dyDescent="0.25">
      <c r="A30" s="2" t="s">
        <v>105</v>
      </c>
      <c r="B30" s="3">
        <v>46234</v>
      </c>
      <c r="C30" s="2" t="s">
        <v>47</v>
      </c>
      <c r="D30" s="2" t="s">
        <v>64</v>
      </c>
      <c r="E30" s="2" t="s">
        <v>34</v>
      </c>
      <c r="F30" s="2" t="s">
        <v>35</v>
      </c>
      <c r="G30" s="2" t="s">
        <v>36</v>
      </c>
      <c r="H30" s="2" t="s">
        <v>52</v>
      </c>
      <c r="I30" s="4">
        <v>2500</v>
      </c>
      <c r="J30" s="4">
        <v>23.75</v>
      </c>
      <c r="K30" s="4">
        <v>59375</v>
      </c>
      <c r="L30" s="2">
        <v>96.6</v>
      </c>
      <c r="M30" s="2" t="s">
        <v>37</v>
      </c>
      <c r="N30" s="2">
        <v>25</v>
      </c>
      <c r="O30" s="2">
        <v>2187.8000000000002</v>
      </c>
      <c r="P30" s="2" t="s">
        <v>25</v>
      </c>
      <c r="Q30" s="2" t="s">
        <v>62</v>
      </c>
    </row>
    <row r="31" spans="1:17" x14ac:dyDescent="0.25">
      <c r="A31" s="2" t="s">
        <v>106</v>
      </c>
      <c r="B31" s="3">
        <v>46263</v>
      </c>
      <c r="C31" s="2" t="s">
        <v>27</v>
      </c>
      <c r="D31" s="2" t="s">
        <v>48</v>
      </c>
      <c r="E31" s="2" t="s">
        <v>104</v>
      </c>
      <c r="F31" s="2" t="s">
        <v>95</v>
      </c>
      <c r="G31" s="2" t="s">
        <v>96</v>
      </c>
      <c r="H31" s="2" t="s">
        <v>78</v>
      </c>
      <c r="I31" s="4">
        <v>2000</v>
      </c>
      <c r="J31" s="4">
        <v>13.06</v>
      </c>
      <c r="K31" s="4">
        <v>26120</v>
      </c>
      <c r="L31" s="2">
        <v>95.1</v>
      </c>
      <c r="M31" s="2" t="s">
        <v>37</v>
      </c>
      <c r="N31" s="2">
        <v>22</v>
      </c>
      <c r="O31" s="2">
        <v>1452.1</v>
      </c>
      <c r="P31" s="2" t="s">
        <v>68</v>
      </c>
      <c r="Q31" s="2" t="s">
        <v>62</v>
      </c>
    </row>
    <row r="32" spans="1:17" x14ac:dyDescent="0.25">
      <c r="A32" s="2" t="s">
        <v>107</v>
      </c>
      <c r="B32" s="3">
        <v>46165</v>
      </c>
      <c r="C32" s="2" t="s">
        <v>47</v>
      </c>
      <c r="D32" s="2" t="s">
        <v>19</v>
      </c>
      <c r="E32" s="2" t="s">
        <v>55</v>
      </c>
      <c r="F32" s="2" t="s">
        <v>56</v>
      </c>
      <c r="G32" s="2" t="s">
        <v>57</v>
      </c>
      <c r="H32" s="2" t="s">
        <v>52</v>
      </c>
      <c r="I32" s="4">
        <v>2500</v>
      </c>
      <c r="J32" s="4">
        <v>21.11</v>
      </c>
      <c r="K32" s="4">
        <v>52775</v>
      </c>
      <c r="L32" s="2">
        <v>96.1</v>
      </c>
      <c r="M32" s="2" t="s">
        <v>37</v>
      </c>
      <c r="N32" s="2">
        <v>9</v>
      </c>
      <c r="O32" s="2">
        <v>2067.1999999999998</v>
      </c>
      <c r="P32" s="2" t="s">
        <v>31</v>
      </c>
      <c r="Q32" s="2" t="s">
        <v>108</v>
      </c>
    </row>
    <row r="33" spans="1:17" x14ac:dyDescent="0.25">
      <c r="A33" s="2" t="s">
        <v>109</v>
      </c>
      <c r="B33" s="3">
        <v>46042</v>
      </c>
      <c r="C33" s="2" t="s">
        <v>47</v>
      </c>
      <c r="D33" s="2" t="s">
        <v>87</v>
      </c>
      <c r="E33" s="2" t="s">
        <v>41</v>
      </c>
      <c r="F33" s="2" t="s">
        <v>42</v>
      </c>
      <c r="G33" s="2" t="s">
        <v>43</v>
      </c>
      <c r="H33" s="2" t="s">
        <v>52</v>
      </c>
      <c r="I33" s="4">
        <v>2000</v>
      </c>
      <c r="J33" s="4">
        <v>15.88</v>
      </c>
      <c r="K33" s="4">
        <v>31760</v>
      </c>
      <c r="L33" s="2">
        <v>99.2</v>
      </c>
      <c r="M33" s="2" t="s">
        <v>37</v>
      </c>
      <c r="N33" s="2">
        <v>32</v>
      </c>
      <c r="O33" s="2">
        <v>3378.9</v>
      </c>
      <c r="P33" s="2" t="s">
        <v>68</v>
      </c>
      <c r="Q33" s="2" t="s">
        <v>45</v>
      </c>
    </row>
    <row r="34" spans="1:17" x14ac:dyDescent="0.25">
      <c r="A34" s="2" t="s">
        <v>110</v>
      </c>
      <c r="B34" s="3">
        <v>46246</v>
      </c>
      <c r="C34" s="2" t="s">
        <v>47</v>
      </c>
      <c r="D34" s="2" t="s">
        <v>48</v>
      </c>
      <c r="E34" s="2" t="s">
        <v>104</v>
      </c>
      <c r="F34" s="2" t="s">
        <v>95</v>
      </c>
      <c r="G34" s="2" t="s">
        <v>96</v>
      </c>
      <c r="H34" s="2" t="s">
        <v>52</v>
      </c>
      <c r="I34" s="4">
        <v>2500</v>
      </c>
      <c r="J34" s="4">
        <v>8</v>
      </c>
      <c r="K34" s="4">
        <v>20000</v>
      </c>
      <c r="L34" s="2">
        <v>92.3</v>
      </c>
      <c r="M34" s="2" t="s">
        <v>37</v>
      </c>
      <c r="N34" s="2">
        <v>28</v>
      </c>
      <c r="O34" s="2">
        <v>3574.3</v>
      </c>
      <c r="P34" s="2" t="s">
        <v>25</v>
      </c>
      <c r="Q34" s="2"/>
    </row>
    <row r="35" spans="1:17" x14ac:dyDescent="0.25">
      <c r="A35" s="2" t="s">
        <v>111</v>
      </c>
      <c r="B35" s="3">
        <v>46282</v>
      </c>
      <c r="C35" s="2" t="s">
        <v>33</v>
      </c>
      <c r="D35" s="2" t="s">
        <v>87</v>
      </c>
      <c r="E35" s="2" t="s">
        <v>41</v>
      </c>
      <c r="F35" s="2" t="s">
        <v>42</v>
      </c>
      <c r="G35" s="2" t="s">
        <v>43</v>
      </c>
      <c r="H35" s="2" t="s">
        <v>52</v>
      </c>
      <c r="I35" s="4">
        <v>2500</v>
      </c>
      <c r="J35" s="4">
        <v>21.49</v>
      </c>
      <c r="K35" s="4">
        <v>53725</v>
      </c>
      <c r="L35" s="2">
        <v>89.9</v>
      </c>
      <c r="M35" s="2" t="s">
        <v>37</v>
      </c>
      <c r="N35" s="2">
        <v>34</v>
      </c>
      <c r="O35" s="2">
        <v>3578.6</v>
      </c>
      <c r="P35" s="2" t="s">
        <v>61</v>
      </c>
      <c r="Q35" s="2"/>
    </row>
    <row r="36" spans="1:17" x14ac:dyDescent="0.25">
      <c r="A36" s="2" t="s">
        <v>112</v>
      </c>
      <c r="B36" s="3">
        <v>46177</v>
      </c>
      <c r="C36" s="2" t="s">
        <v>82</v>
      </c>
      <c r="D36" s="2" t="s">
        <v>28</v>
      </c>
      <c r="E36" s="2" t="s">
        <v>34</v>
      </c>
      <c r="F36" s="2" t="s">
        <v>35</v>
      </c>
      <c r="G36" s="2" t="s">
        <v>36</v>
      </c>
      <c r="H36" s="2" t="s">
        <v>52</v>
      </c>
      <c r="I36" s="4">
        <v>1500</v>
      </c>
      <c r="J36" s="4">
        <v>11.02</v>
      </c>
      <c r="K36" s="4">
        <v>16530</v>
      </c>
      <c r="L36" s="2">
        <v>94.9</v>
      </c>
      <c r="M36" s="2" t="s">
        <v>24</v>
      </c>
      <c r="N36" s="2">
        <v>28</v>
      </c>
      <c r="O36" s="2">
        <v>1817.2</v>
      </c>
      <c r="P36" s="2" t="s">
        <v>61</v>
      </c>
      <c r="Q36" s="2"/>
    </row>
    <row r="37" spans="1:17" x14ac:dyDescent="0.25">
      <c r="A37" s="2" t="s">
        <v>113</v>
      </c>
      <c r="B37" s="3">
        <v>46284</v>
      </c>
      <c r="C37" s="2" t="s">
        <v>82</v>
      </c>
      <c r="D37" s="2" t="s">
        <v>64</v>
      </c>
      <c r="E37" s="2" t="s">
        <v>49</v>
      </c>
      <c r="F37" s="2" t="s">
        <v>50</v>
      </c>
      <c r="G37" s="2" t="s">
        <v>51</v>
      </c>
      <c r="H37" s="2" t="s">
        <v>58</v>
      </c>
      <c r="I37" s="4">
        <v>1500</v>
      </c>
      <c r="J37" s="4">
        <v>17.579999999999998</v>
      </c>
      <c r="K37" s="4">
        <v>26370</v>
      </c>
      <c r="L37" s="2">
        <v>91.6</v>
      </c>
      <c r="M37" s="2" t="s">
        <v>37</v>
      </c>
      <c r="N37" s="2">
        <v>13</v>
      </c>
      <c r="O37" s="2">
        <v>2400.4</v>
      </c>
      <c r="P37" s="2" t="s">
        <v>68</v>
      </c>
      <c r="Q37" s="2"/>
    </row>
    <row r="38" spans="1:17" x14ac:dyDescent="0.25">
      <c r="A38" s="2" t="s">
        <v>114</v>
      </c>
      <c r="B38" s="3">
        <v>46138</v>
      </c>
      <c r="C38" s="2" t="s">
        <v>27</v>
      </c>
      <c r="D38" s="2" t="s">
        <v>64</v>
      </c>
      <c r="E38" s="2" t="s">
        <v>41</v>
      </c>
      <c r="F38" s="2" t="s">
        <v>42</v>
      </c>
      <c r="G38" s="2" t="s">
        <v>43</v>
      </c>
      <c r="H38" s="2" t="s">
        <v>58</v>
      </c>
      <c r="I38" s="4">
        <v>500</v>
      </c>
      <c r="J38" s="4">
        <v>11.76</v>
      </c>
      <c r="K38" s="4">
        <v>5880</v>
      </c>
      <c r="L38" s="2">
        <v>88.2</v>
      </c>
      <c r="M38" s="2" t="s">
        <v>37</v>
      </c>
      <c r="N38" s="2">
        <v>37</v>
      </c>
      <c r="O38" s="2">
        <v>577.9</v>
      </c>
      <c r="P38" s="2" t="s">
        <v>44</v>
      </c>
      <c r="Q38" s="2" t="s">
        <v>53</v>
      </c>
    </row>
    <row r="39" spans="1:17" x14ac:dyDescent="0.25">
      <c r="A39" s="2" t="s">
        <v>115</v>
      </c>
      <c r="B39" s="3">
        <v>46276</v>
      </c>
      <c r="C39" s="2" t="s">
        <v>82</v>
      </c>
      <c r="D39" s="2" t="s">
        <v>48</v>
      </c>
      <c r="E39" s="2" t="s">
        <v>88</v>
      </c>
      <c r="F39" s="2" t="s">
        <v>89</v>
      </c>
      <c r="G39" s="2" t="s">
        <v>90</v>
      </c>
      <c r="H39" s="2" t="s">
        <v>23</v>
      </c>
      <c r="I39" s="4">
        <v>500</v>
      </c>
      <c r="J39" s="4">
        <v>25.69</v>
      </c>
      <c r="K39" s="4">
        <v>12845</v>
      </c>
      <c r="L39" s="2">
        <v>96.5</v>
      </c>
      <c r="M39" s="2" t="s">
        <v>37</v>
      </c>
      <c r="N39" s="2">
        <v>35</v>
      </c>
      <c r="O39" s="2">
        <v>470.4</v>
      </c>
      <c r="P39" s="2" t="s">
        <v>44</v>
      </c>
      <c r="Q39" s="2" t="s">
        <v>62</v>
      </c>
    </row>
    <row r="40" spans="1:17" x14ac:dyDescent="0.25">
      <c r="A40" s="2" t="s">
        <v>116</v>
      </c>
      <c r="B40" s="3">
        <v>46150</v>
      </c>
      <c r="C40" s="2" t="s">
        <v>47</v>
      </c>
      <c r="D40" s="2" t="s">
        <v>40</v>
      </c>
      <c r="E40" s="2" t="s">
        <v>104</v>
      </c>
      <c r="F40" s="2" t="s">
        <v>95</v>
      </c>
      <c r="G40" s="2" t="s">
        <v>96</v>
      </c>
      <c r="H40" s="2" t="s">
        <v>23</v>
      </c>
      <c r="I40" s="4">
        <v>3000</v>
      </c>
      <c r="J40" s="4">
        <v>20.85</v>
      </c>
      <c r="K40" s="4">
        <v>62550</v>
      </c>
      <c r="L40" s="2"/>
      <c r="M40" s="2" t="s">
        <v>24</v>
      </c>
      <c r="N40" s="2">
        <v>28</v>
      </c>
      <c r="O40" s="2">
        <v>5235.1000000000004</v>
      </c>
      <c r="P40" s="2" t="s">
        <v>61</v>
      </c>
      <c r="Q40" s="2" t="s">
        <v>38</v>
      </c>
    </row>
    <row r="41" spans="1:17" x14ac:dyDescent="0.25">
      <c r="A41" s="2" t="s">
        <v>117</v>
      </c>
      <c r="B41" s="3">
        <v>46251</v>
      </c>
      <c r="C41" s="2" t="s">
        <v>27</v>
      </c>
      <c r="D41" s="2" t="s">
        <v>40</v>
      </c>
      <c r="E41" s="2" t="s">
        <v>88</v>
      </c>
      <c r="F41" s="2" t="s">
        <v>89</v>
      </c>
      <c r="G41" s="2" t="s">
        <v>90</v>
      </c>
      <c r="H41" s="2" t="s">
        <v>78</v>
      </c>
      <c r="I41" s="4">
        <v>1500</v>
      </c>
      <c r="J41" s="4">
        <v>22.66</v>
      </c>
      <c r="K41" s="4">
        <v>33990</v>
      </c>
      <c r="L41" s="2">
        <v>96.1</v>
      </c>
      <c r="M41" s="2" t="s">
        <v>37</v>
      </c>
      <c r="N41" s="2">
        <v>41</v>
      </c>
      <c r="O41" s="2">
        <v>1849.6</v>
      </c>
      <c r="P41" s="2" t="s">
        <v>68</v>
      </c>
      <c r="Q41" s="2" t="s">
        <v>45</v>
      </c>
    </row>
    <row r="42" spans="1:17" x14ac:dyDescent="0.25">
      <c r="A42" s="2" t="s">
        <v>118</v>
      </c>
      <c r="B42" s="3">
        <v>46062</v>
      </c>
      <c r="C42" s="2" t="s">
        <v>18</v>
      </c>
      <c r="D42" s="2" t="s">
        <v>19</v>
      </c>
      <c r="E42" s="2" t="s">
        <v>65</v>
      </c>
      <c r="F42" s="2" t="s">
        <v>66</v>
      </c>
      <c r="G42" s="2" t="s">
        <v>67</v>
      </c>
      <c r="H42" s="2" t="s">
        <v>23</v>
      </c>
      <c r="I42" s="4">
        <v>1500</v>
      </c>
      <c r="J42" s="4">
        <v>13.72</v>
      </c>
      <c r="K42" s="4">
        <v>20580</v>
      </c>
      <c r="L42" s="2">
        <v>97.2</v>
      </c>
      <c r="M42" s="2" t="s">
        <v>37</v>
      </c>
      <c r="N42" s="2">
        <v>16</v>
      </c>
      <c r="O42" s="2">
        <v>1298.9000000000001</v>
      </c>
      <c r="P42" s="2" t="s">
        <v>61</v>
      </c>
      <c r="Q42" s="2"/>
    </row>
    <row r="43" spans="1:17" x14ac:dyDescent="0.25">
      <c r="A43" s="2" t="s">
        <v>119</v>
      </c>
      <c r="B43" s="3">
        <v>46132</v>
      </c>
      <c r="C43" s="2" t="s">
        <v>47</v>
      </c>
      <c r="D43" s="2" t="s">
        <v>87</v>
      </c>
      <c r="E43" s="2" t="s">
        <v>34</v>
      </c>
      <c r="F43" s="2" t="s">
        <v>35</v>
      </c>
      <c r="G43" s="2" t="s">
        <v>36</v>
      </c>
      <c r="H43" s="2" t="s">
        <v>78</v>
      </c>
      <c r="I43" s="4">
        <v>2000</v>
      </c>
      <c r="J43" s="4">
        <v>18.170000000000002</v>
      </c>
      <c r="K43" s="4">
        <v>36340</v>
      </c>
      <c r="L43" s="2">
        <v>86.9</v>
      </c>
      <c r="M43" s="2" t="s">
        <v>37</v>
      </c>
      <c r="N43" s="2">
        <v>34</v>
      </c>
      <c r="O43" s="2">
        <v>2256.8000000000002</v>
      </c>
      <c r="P43" s="2" t="s">
        <v>44</v>
      </c>
      <c r="Q43" s="2"/>
    </row>
    <row r="44" spans="1:17" x14ac:dyDescent="0.25">
      <c r="A44" s="2" t="s">
        <v>120</v>
      </c>
      <c r="B44" s="3">
        <v>46217</v>
      </c>
      <c r="C44" s="2" t="s">
        <v>82</v>
      </c>
      <c r="D44" s="2" t="s">
        <v>60</v>
      </c>
      <c r="E44" s="2" t="s">
        <v>104</v>
      </c>
      <c r="F44" s="2" t="s">
        <v>95</v>
      </c>
      <c r="G44" s="2" t="s">
        <v>96</v>
      </c>
      <c r="H44" s="2" t="s">
        <v>52</v>
      </c>
      <c r="I44" s="4">
        <v>1500</v>
      </c>
      <c r="J44" s="4">
        <v>22.7</v>
      </c>
      <c r="K44" s="4">
        <v>34050</v>
      </c>
      <c r="L44" s="2">
        <v>96.3</v>
      </c>
      <c r="M44" s="2" t="s">
        <v>30</v>
      </c>
      <c r="N44" s="2">
        <v>42</v>
      </c>
      <c r="O44" s="2">
        <v>2283.4</v>
      </c>
      <c r="P44" s="2" t="s">
        <v>44</v>
      </c>
      <c r="Q44" s="2" t="s">
        <v>38</v>
      </c>
    </row>
    <row r="45" spans="1:17" x14ac:dyDescent="0.25">
      <c r="A45" s="2" t="s">
        <v>121</v>
      </c>
      <c r="B45" s="3">
        <v>46272</v>
      </c>
      <c r="C45" s="2" t="s">
        <v>27</v>
      </c>
      <c r="D45" s="2" t="s">
        <v>19</v>
      </c>
      <c r="E45" s="2" t="s">
        <v>49</v>
      </c>
      <c r="F45" s="2" t="s">
        <v>50</v>
      </c>
      <c r="G45" s="2" t="s">
        <v>51</v>
      </c>
      <c r="H45" s="2" t="s">
        <v>78</v>
      </c>
      <c r="I45" s="4">
        <v>3000</v>
      </c>
      <c r="J45" s="4">
        <v>7.12</v>
      </c>
      <c r="K45" s="4">
        <v>21360</v>
      </c>
      <c r="L45" s="2">
        <v>85.2</v>
      </c>
      <c r="M45" s="2" t="s">
        <v>30</v>
      </c>
      <c r="N45" s="2">
        <v>18</v>
      </c>
      <c r="O45" s="2">
        <v>4873.7</v>
      </c>
      <c r="P45" s="2" t="s">
        <v>68</v>
      </c>
      <c r="Q45" s="2" t="s">
        <v>38</v>
      </c>
    </row>
    <row r="46" spans="1:17" x14ac:dyDescent="0.25">
      <c r="A46" s="2" t="s">
        <v>122</v>
      </c>
      <c r="B46" s="3">
        <v>46224</v>
      </c>
      <c r="C46" s="2" t="s">
        <v>84</v>
      </c>
      <c r="D46" s="2" t="s">
        <v>28</v>
      </c>
      <c r="E46" s="2" t="s">
        <v>104</v>
      </c>
      <c r="F46" s="2" t="s">
        <v>95</v>
      </c>
      <c r="G46" s="2" t="s">
        <v>96</v>
      </c>
      <c r="H46" s="2" t="s">
        <v>58</v>
      </c>
      <c r="I46" s="4">
        <v>2500</v>
      </c>
      <c r="J46" s="4">
        <v>9.42</v>
      </c>
      <c r="K46" s="4">
        <v>23550</v>
      </c>
      <c r="L46" s="2">
        <v>87.9</v>
      </c>
      <c r="M46" s="2" t="s">
        <v>37</v>
      </c>
      <c r="N46" s="2">
        <v>24</v>
      </c>
      <c r="O46" s="2">
        <v>2792.5</v>
      </c>
      <c r="P46" s="2" t="s">
        <v>68</v>
      </c>
      <c r="Q46" s="2" t="s">
        <v>62</v>
      </c>
    </row>
    <row r="47" spans="1:17" x14ac:dyDescent="0.25">
      <c r="A47" s="2" t="s">
        <v>123</v>
      </c>
      <c r="B47" s="3">
        <v>46195</v>
      </c>
      <c r="C47" s="2" t="s">
        <v>124</v>
      </c>
      <c r="D47" s="2" t="s">
        <v>19</v>
      </c>
      <c r="E47" s="2" t="s">
        <v>55</v>
      </c>
      <c r="F47" s="2" t="s">
        <v>56</v>
      </c>
      <c r="G47" s="2" t="s">
        <v>57</v>
      </c>
      <c r="H47" s="2" t="s">
        <v>78</v>
      </c>
      <c r="I47" s="4">
        <v>1500</v>
      </c>
      <c r="J47" s="4">
        <v>24.45</v>
      </c>
      <c r="K47" s="4">
        <v>36675</v>
      </c>
      <c r="L47" s="2">
        <v>88.1</v>
      </c>
      <c r="M47" s="2" t="s">
        <v>24</v>
      </c>
      <c r="N47" s="2">
        <v>11</v>
      </c>
      <c r="O47" s="2">
        <v>2699.8</v>
      </c>
      <c r="P47" s="2" t="s">
        <v>31</v>
      </c>
      <c r="Q47" s="2" t="s">
        <v>53</v>
      </c>
    </row>
    <row r="48" spans="1:17" x14ac:dyDescent="0.25">
      <c r="A48" s="2" t="s">
        <v>125</v>
      </c>
      <c r="B48" s="3">
        <v>46043</v>
      </c>
      <c r="C48" s="2" t="s">
        <v>47</v>
      </c>
      <c r="D48" s="2" t="s">
        <v>48</v>
      </c>
      <c r="E48" s="2" t="s">
        <v>20</v>
      </c>
      <c r="F48" s="2" t="s">
        <v>21</v>
      </c>
      <c r="G48" s="2" t="s">
        <v>22</v>
      </c>
      <c r="H48" s="2" t="s">
        <v>23</v>
      </c>
      <c r="I48" s="4">
        <v>500</v>
      </c>
      <c r="J48" s="4">
        <v>19.86</v>
      </c>
      <c r="K48" s="4">
        <v>9930</v>
      </c>
      <c r="L48" s="2">
        <v>83.1</v>
      </c>
      <c r="M48" s="2" t="s">
        <v>30</v>
      </c>
      <c r="N48" s="2">
        <v>15</v>
      </c>
      <c r="O48" s="2">
        <v>660.2</v>
      </c>
      <c r="P48" s="2" t="s">
        <v>68</v>
      </c>
      <c r="Q48" s="2" t="s">
        <v>62</v>
      </c>
    </row>
    <row r="49" spans="1:17" x14ac:dyDescent="0.25">
      <c r="A49" s="2" t="s">
        <v>126</v>
      </c>
      <c r="B49" s="3">
        <v>46211</v>
      </c>
      <c r="C49" s="2" t="s">
        <v>27</v>
      </c>
      <c r="D49" s="2" t="s">
        <v>70</v>
      </c>
      <c r="E49" s="2" t="s">
        <v>41</v>
      </c>
      <c r="F49" s="2" t="s">
        <v>42</v>
      </c>
      <c r="G49" s="2" t="s">
        <v>43</v>
      </c>
      <c r="H49" s="2" t="s">
        <v>23</v>
      </c>
      <c r="I49" s="4">
        <v>1500</v>
      </c>
      <c r="J49" s="4">
        <v>8.82</v>
      </c>
      <c r="K49" s="4">
        <v>13230</v>
      </c>
      <c r="L49" s="2">
        <v>78.599999999999994</v>
      </c>
      <c r="M49" s="2" t="s">
        <v>37</v>
      </c>
      <c r="N49" s="2">
        <v>32</v>
      </c>
      <c r="O49" s="2">
        <v>1704.5</v>
      </c>
      <c r="P49" s="2" t="s">
        <v>68</v>
      </c>
      <c r="Q49" s="2"/>
    </row>
    <row r="50" spans="1:17" x14ac:dyDescent="0.25">
      <c r="A50" s="2" t="s">
        <v>127</v>
      </c>
      <c r="B50" s="3">
        <v>46075</v>
      </c>
      <c r="C50" s="2" t="s">
        <v>18</v>
      </c>
      <c r="D50" s="2" t="s">
        <v>19</v>
      </c>
      <c r="E50" s="2" t="s">
        <v>49</v>
      </c>
      <c r="F50" s="2" t="s">
        <v>50</v>
      </c>
      <c r="G50" s="2" t="s">
        <v>51</v>
      </c>
      <c r="H50" s="2" t="s">
        <v>29</v>
      </c>
      <c r="I50" s="4">
        <v>750</v>
      </c>
      <c r="J50" s="4">
        <v>23.62</v>
      </c>
      <c r="K50" s="4">
        <v>17715</v>
      </c>
      <c r="L50" s="2">
        <v>90.2</v>
      </c>
      <c r="M50" s="2" t="s">
        <v>37</v>
      </c>
      <c r="N50" s="2">
        <v>30</v>
      </c>
      <c r="O50" s="2">
        <v>964.5</v>
      </c>
      <c r="P50" s="2" t="s">
        <v>31</v>
      </c>
      <c r="Q50" s="2"/>
    </row>
    <row r="51" spans="1:17" x14ac:dyDescent="0.25">
      <c r="A51" s="2" t="s">
        <v>128</v>
      </c>
      <c r="B51" s="3">
        <v>46029</v>
      </c>
      <c r="C51" s="2" t="s">
        <v>82</v>
      </c>
      <c r="D51" s="2" t="s">
        <v>40</v>
      </c>
      <c r="E51" s="2" t="s">
        <v>55</v>
      </c>
      <c r="F51" s="2" t="s">
        <v>56</v>
      </c>
      <c r="G51" s="2" t="s">
        <v>57</v>
      </c>
      <c r="H51" s="2" t="s">
        <v>58</v>
      </c>
      <c r="I51" s="4">
        <v>2500</v>
      </c>
      <c r="J51" s="4">
        <v>27.16</v>
      </c>
      <c r="K51" s="4">
        <v>67900</v>
      </c>
      <c r="L51" s="2">
        <v>91.7</v>
      </c>
      <c r="M51" s="2" t="s">
        <v>30</v>
      </c>
      <c r="N51" s="2">
        <v>17</v>
      </c>
      <c r="O51" s="2">
        <v>2947.6</v>
      </c>
      <c r="P51" s="2" t="s">
        <v>44</v>
      </c>
      <c r="Q51" s="2"/>
    </row>
    <row r="52" spans="1:17" x14ac:dyDescent="0.25">
      <c r="A52" s="2" t="s">
        <v>129</v>
      </c>
      <c r="B52" s="3">
        <v>46270</v>
      </c>
      <c r="C52" s="2" t="s">
        <v>82</v>
      </c>
      <c r="D52" s="2" t="s">
        <v>87</v>
      </c>
      <c r="E52" s="2" t="s">
        <v>41</v>
      </c>
      <c r="F52" s="2" t="s">
        <v>42</v>
      </c>
      <c r="G52" s="2" t="s">
        <v>43</v>
      </c>
      <c r="H52" s="2" t="s">
        <v>29</v>
      </c>
      <c r="I52" s="4">
        <v>1500</v>
      </c>
      <c r="J52" s="4">
        <v>13.43</v>
      </c>
      <c r="K52" s="4">
        <v>20145</v>
      </c>
      <c r="L52" s="2">
        <v>83.3</v>
      </c>
      <c r="M52" s="2" t="s">
        <v>37</v>
      </c>
      <c r="N52" s="2">
        <v>25</v>
      </c>
      <c r="O52" s="2">
        <v>2504.6999999999998</v>
      </c>
      <c r="P52" s="2" t="s">
        <v>68</v>
      </c>
      <c r="Q52" s="2" t="s">
        <v>62</v>
      </c>
    </row>
    <row r="53" spans="1:17" x14ac:dyDescent="0.25">
      <c r="A53" s="2" t="s">
        <v>130</v>
      </c>
      <c r="B53" s="3">
        <v>46195</v>
      </c>
      <c r="C53" s="2" t="s">
        <v>47</v>
      </c>
      <c r="D53" s="2" t="s">
        <v>40</v>
      </c>
      <c r="E53" s="2" t="s">
        <v>88</v>
      </c>
      <c r="F53" s="2" t="s">
        <v>89</v>
      </c>
      <c r="G53" s="2" t="s">
        <v>90</v>
      </c>
      <c r="H53" s="2" t="s">
        <v>52</v>
      </c>
      <c r="I53" s="4">
        <v>1000</v>
      </c>
      <c r="J53" s="4">
        <v>16.98</v>
      </c>
      <c r="K53" s="4">
        <v>16980</v>
      </c>
      <c r="L53" s="2">
        <v>85.6</v>
      </c>
      <c r="M53" s="2" t="s">
        <v>37</v>
      </c>
      <c r="N53" s="2">
        <v>29</v>
      </c>
      <c r="O53" s="2">
        <v>1007.6</v>
      </c>
      <c r="P53" s="2" t="s">
        <v>44</v>
      </c>
      <c r="Q53" s="2"/>
    </row>
    <row r="54" spans="1:17" x14ac:dyDescent="0.25">
      <c r="A54" s="2" t="s">
        <v>131</v>
      </c>
      <c r="B54" s="3">
        <v>46028</v>
      </c>
      <c r="C54" s="2" t="s">
        <v>84</v>
      </c>
      <c r="D54" s="2" t="s">
        <v>48</v>
      </c>
      <c r="E54" s="2" t="s">
        <v>41</v>
      </c>
      <c r="F54" s="2" t="s">
        <v>42</v>
      </c>
      <c r="G54" s="2" t="s">
        <v>43</v>
      </c>
      <c r="H54" s="2" t="s">
        <v>58</v>
      </c>
      <c r="I54" s="4">
        <v>1250</v>
      </c>
      <c r="J54" s="4">
        <v>21.98</v>
      </c>
      <c r="K54" s="4">
        <v>27475</v>
      </c>
      <c r="L54" s="2">
        <v>88.5</v>
      </c>
      <c r="M54" s="2" t="s">
        <v>37</v>
      </c>
      <c r="N54" s="2">
        <v>38</v>
      </c>
      <c r="O54" s="2">
        <v>1763.1</v>
      </c>
      <c r="P54" s="2" t="s">
        <v>61</v>
      </c>
      <c r="Q54" s="2" t="s">
        <v>62</v>
      </c>
    </row>
    <row r="55" spans="1:17" x14ac:dyDescent="0.25">
      <c r="A55" s="2" t="s">
        <v>132</v>
      </c>
      <c r="B55" s="3">
        <v>46070</v>
      </c>
      <c r="C55" s="2" t="s">
        <v>33</v>
      </c>
      <c r="D55" s="2" t="s">
        <v>48</v>
      </c>
      <c r="E55" s="2" t="s">
        <v>104</v>
      </c>
      <c r="F55" s="2" t="s">
        <v>95</v>
      </c>
      <c r="G55" s="2" t="s">
        <v>96</v>
      </c>
      <c r="H55" s="2" t="s">
        <v>78</v>
      </c>
      <c r="I55" s="4">
        <v>1250</v>
      </c>
      <c r="J55" s="4">
        <v>13.08</v>
      </c>
      <c r="K55" s="4">
        <v>16350</v>
      </c>
      <c r="L55" s="2">
        <v>90.5</v>
      </c>
      <c r="M55" s="2" t="s">
        <v>30</v>
      </c>
      <c r="N55" s="2">
        <v>41</v>
      </c>
      <c r="O55" s="2">
        <v>1347.7</v>
      </c>
      <c r="P55" s="2" t="s">
        <v>44</v>
      </c>
      <c r="Q55" s="2" t="s">
        <v>45</v>
      </c>
    </row>
    <row r="56" spans="1:17" x14ac:dyDescent="0.25">
      <c r="A56" s="2" t="s">
        <v>133</v>
      </c>
      <c r="B56" s="3">
        <v>46255</v>
      </c>
      <c r="C56" s="2" t="s">
        <v>33</v>
      </c>
      <c r="D56" s="2" t="s">
        <v>19</v>
      </c>
      <c r="E56" s="2" t="s">
        <v>55</v>
      </c>
      <c r="F56" s="2" t="s">
        <v>56</v>
      </c>
      <c r="G56" s="2" t="s">
        <v>57</v>
      </c>
      <c r="H56" s="2" t="s">
        <v>52</v>
      </c>
      <c r="I56" s="4">
        <v>1250</v>
      </c>
      <c r="J56" s="4">
        <v>9.09</v>
      </c>
      <c r="K56" s="4">
        <v>11362.5</v>
      </c>
      <c r="L56" s="2">
        <v>82.1</v>
      </c>
      <c r="M56" s="2" t="s">
        <v>37</v>
      </c>
      <c r="N56" s="2">
        <v>42</v>
      </c>
      <c r="O56" s="2">
        <v>2182.5</v>
      </c>
      <c r="P56" s="2" t="s">
        <v>68</v>
      </c>
      <c r="Q56" s="2" t="s">
        <v>53</v>
      </c>
    </row>
    <row r="57" spans="1:17" x14ac:dyDescent="0.25">
      <c r="A57" s="2" t="s">
        <v>134</v>
      </c>
      <c r="B57" s="3">
        <v>46270</v>
      </c>
      <c r="C57" s="2" t="s">
        <v>33</v>
      </c>
      <c r="D57" s="2" t="s">
        <v>19</v>
      </c>
      <c r="E57" s="2" t="s">
        <v>49</v>
      </c>
      <c r="F57" s="2" t="s">
        <v>50</v>
      </c>
      <c r="G57" s="2" t="s">
        <v>51</v>
      </c>
      <c r="H57" s="2" t="s">
        <v>58</v>
      </c>
      <c r="I57" s="4">
        <v>1250</v>
      </c>
      <c r="J57" s="4">
        <v>12.87</v>
      </c>
      <c r="K57" s="4">
        <v>16087.5</v>
      </c>
      <c r="L57" s="2">
        <v>85.8</v>
      </c>
      <c r="M57" s="2" t="s">
        <v>37</v>
      </c>
      <c r="N57" s="2">
        <v>8</v>
      </c>
      <c r="O57" s="2">
        <v>1848.5</v>
      </c>
      <c r="P57" s="2" t="s">
        <v>68</v>
      </c>
      <c r="Q57" s="2" t="s">
        <v>45</v>
      </c>
    </row>
    <row r="58" spans="1:17" x14ac:dyDescent="0.25">
      <c r="A58" s="2" t="s">
        <v>135</v>
      </c>
      <c r="B58" s="3">
        <v>46050</v>
      </c>
      <c r="C58" s="2" t="s">
        <v>84</v>
      </c>
      <c r="D58" s="2" t="s">
        <v>19</v>
      </c>
      <c r="E58" s="2" t="s">
        <v>104</v>
      </c>
      <c r="F58" s="2" t="s">
        <v>95</v>
      </c>
      <c r="G58" s="2" t="s">
        <v>96</v>
      </c>
      <c r="H58" s="2" t="s">
        <v>23</v>
      </c>
      <c r="I58" s="4">
        <v>3000</v>
      </c>
      <c r="J58" s="4">
        <v>8.7100000000000009</v>
      </c>
      <c r="K58" s="4">
        <v>26130</v>
      </c>
      <c r="L58" s="2">
        <v>78.3</v>
      </c>
      <c r="M58" s="2" t="s">
        <v>37</v>
      </c>
      <c r="N58" s="2">
        <v>38</v>
      </c>
      <c r="O58" s="2">
        <v>3679.8</v>
      </c>
      <c r="P58" s="2" t="s">
        <v>31</v>
      </c>
      <c r="Q58" s="2" t="s">
        <v>53</v>
      </c>
    </row>
    <row r="59" spans="1:17" x14ac:dyDescent="0.25">
      <c r="A59" s="2" t="s">
        <v>136</v>
      </c>
      <c r="B59" s="3">
        <v>46152</v>
      </c>
      <c r="C59" s="2" t="s">
        <v>82</v>
      </c>
      <c r="D59" s="2" t="s">
        <v>70</v>
      </c>
      <c r="E59" s="2" t="s">
        <v>104</v>
      </c>
      <c r="F59" s="2" t="s">
        <v>95</v>
      </c>
      <c r="G59" s="2" t="s">
        <v>96</v>
      </c>
      <c r="H59" s="2" t="s">
        <v>58</v>
      </c>
      <c r="I59" s="4">
        <v>2500</v>
      </c>
      <c r="J59" s="4">
        <v>17.07</v>
      </c>
      <c r="K59" s="4">
        <v>42675</v>
      </c>
      <c r="L59" s="2">
        <v>90.4</v>
      </c>
      <c r="M59" s="2" t="s">
        <v>85</v>
      </c>
      <c r="N59" s="2">
        <v>17</v>
      </c>
      <c r="O59" s="2">
        <v>2160.3000000000002</v>
      </c>
      <c r="P59" s="2" t="s">
        <v>44</v>
      </c>
      <c r="Q59" s="2" t="s">
        <v>45</v>
      </c>
    </row>
    <row r="60" spans="1:17" x14ac:dyDescent="0.25">
      <c r="A60" s="2" t="s">
        <v>137</v>
      </c>
      <c r="B60" s="3">
        <v>46150</v>
      </c>
      <c r="C60" s="2" t="s">
        <v>47</v>
      </c>
      <c r="D60" s="2" t="s">
        <v>87</v>
      </c>
      <c r="E60" s="2" t="s">
        <v>20</v>
      </c>
      <c r="F60" s="2" t="s">
        <v>21</v>
      </c>
      <c r="G60" s="2" t="s">
        <v>22</v>
      </c>
      <c r="H60" s="2" t="s">
        <v>29</v>
      </c>
      <c r="I60" s="4">
        <v>1250</v>
      </c>
      <c r="J60" s="4">
        <v>23.18</v>
      </c>
      <c r="K60" s="4">
        <v>28975</v>
      </c>
      <c r="L60" s="2">
        <v>86.2</v>
      </c>
      <c r="M60" s="2" t="s">
        <v>30</v>
      </c>
      <c r="N60" s="2">
        <v>27</v>
      </c>
      <c r="O60" s="2">
        <v>2057.6999999999998</v>
      </c>
      <c r="P60" s="2" t="s">
        <v>61</v>
      </c>
      <c r="Q60" s="2" t="s">
        <v>45</v>
      </c>
    </row>
    <row r="61" spans="1:17" x14ac:dyDescent="0.25">
      <c r="A61" s="2" t="s">
        <v>138</v>
      </c>
      <c r="B61" s="3">
        <v>46073</v>
      </c>
      <c r="C61" s="2" t="s">
        <v>27</v>
      </c>
      <c r="D61" s="2" t="s">
        <v>48</v>
      </c>
      <c r="E61" s="2" t="s">
        <v>104</v>
      </c>
      <c r="F61" s="2" t="s">
        <v>95</v>
      </c>
      <c r="G61" s="2" t="s">
        <v>96</v>
      </c>
      <c r="H61" s="2" t="s">
        <v>52</v>
      </c>
      <c r="I61" s="4">
        <v>750</v>
      </c>
      <c r="J61" s="4">
        <v>9.8800000000000008</v>
      </c>
      <c r="K61" s="4">
        <v>7410</v>
      </c>
      <c r="L61" s="2">
        <v>81.7</v>
      </c>
      <c r="M61" s="2" t="s">
        <v>37</v>
      </c>
      <c r="N61" s="2">
        <v>18</v>
      </c>
      <c r="O61" s="2">
        <v>527.20000000000005</v>
      </c>
      <c r="P61" s="2" t="s">
        <v>61</v>
      </c>
      <c r="Q61" s="2"/>
    </row>
    <row r="62" spans="1:17" x14ac:dyDescent="0.25">
      <c r="A62" s="2" t="s">
        <v>139</v>
      </c>
      <c r="B62" s="3">
        <v>46172</v>
      </c>
      <c r="C62" s="2" t="s">
        <v>47</v>
      </c>
      <c r="D62" s="2" t="s">
        <v>48</v>
      </c>
      <c r="E62" s="2" t="s">
        <v>65</v>
      </c>
      <c r="F62" s="2" t="s">
        <v>66</v>
      </c>
      <c r="G62" s="2" t="s">
        <v>67</v>
      </c>
      <c r="H62" s="2" t="s">
        <v>52</v>
      </c>
      <c r="I62" s="4">
        <v>1500</v>
      </c>
      <c r="J62" s="4">
        <v>21.61</v>
      </c>
      <c r="K62" s="4">
        <v>32415</v>
      </c>
      <c r="L62" s="2">
        <v>87.8</v>
      </c>
      <c r="M62" s="2" t="s">
        <v>37</v>
      </c>
      <c r="N62" s="2">
        <v>24</v>
      </c>
      <c r="O62" s="2">
        <v>2349.9</v>
      </c>
      <c r="P62" s="2" t="s">
        <v>44</v>
      </c>
      <c r="Q62" s="2"/>
    </row>
    <row r="63" spans="1:17" x14ac:dyDescent="0.25">
      <c r="A63" s="2" t="s">
        <v>140</v>
      </c>
      <c r="B63" s="3">
        <v>46240</v>
      </c>
      <c r="C63" s="2" t="s">
        <v>47</v>
      </c>
      <c r="D63" s="2" t="s">
        <v>48</v>
      </c>
      <c r="E63" s="2" t="s">
        <v>49</v>
      </c>
      <c r="F63" s="2" t="s">
        <v>50</v>
      </c>
      <c r="G63" s="2" t="s">
        <v>51</v>
      </c>
      <c r="H63" s="2" t="s">
        <v>23</v>
      </c>
      <c r="I63" s="4">
        <v>1500</v>
      </c>
      <c r="J63" s="4">
        <v>24.27</v>
      </c>
      <c r="K63" s="4">
        <v>36405</v>
      </c>
      <c r="L63" s="2">
        <v>79.5</v>
      </c>
      <c r="M63" s="2" t="s">
        <v>37</v>
      </c>
      <c r="N63" s="2">
        <v>27</v>
      </c>
      <c r="O63" s="2">
        <v>2031.8</v>
      </c>
      <c r="P63" s="2" t="s">
        <v>44</v>
      </c>
      <c r="Q63" s="2" t="s">
        <v>45</v>
      </c>
    </row>
    <row r="64" spans="1:17" x14ac:dyDescent="0.25">
      <c r="A64" s="2" t="s">
        <v>141</v>
      </c>
      <c r="B64" s="3">
        <v>46086</v>
      </c>
      <c r="C64" s="2" t="s">
        <v>82</v>
      </c>
      <c r="D64" s="2" t="s">
        <v>19</v>
      </c>
      <c r="E64" s="2" t="s">
        <v>142</v>
      </c>
      <c r="F64" s="2" t="s">
        <v>66</v>
      </c>
      <c r="G64" s="2" t="s">
        <v>67</v>
      </c>
      <c r="H64" s="2" t="s">
        <v>78</v>
      </c>
      <c r="I64" s="4">
        <v>1500</v>
      </c>
      <c r="J64" s="4">
        <v>17.260000000000002</v>
      </c>
      <c r="K64" s="4">
        <v>25890</v>
      </c>
      <c r="L64" s="2">
        <v>88.6</v>
      </c>
      <c r="M64" s="2" t="s">
        <v>37</v>
      </c>
      <c r="N64" s="2">
        <v>10</v>
      </c>
      <c r="O64" s="2">
        <v>2517.5</v>
      </c>
      <c r="P64" s="2" t="s">
        <v>31</v>
      </c>
      <c r="Q64" s="2" t="s">
        <v>38</v>
      </c>
    </row>
    <row r="65" spans="1:17" x14ac:dyDescent="0.25">
      <c r="A65" s="2" t="s">
        <v>143</v>
      </c>
      <c r="B65" s="3">
        <v>46036</v>
      </c>
      <c r="C65" s="2" t="s">
        <v>47</v>
      </c>
      <c r="D65" s="2" t="s">
        <v>48</v>
      </c>
      <c r="E65" s="2" t="s">
        <v>41</v>
      </c>
      <c r="F65" s="2" t="s">
        <v>42</v>
      </c>
      <c r="G65" s="2" t="s">
        <v>43</v>
      </c>
      <c r="H65" s="2" t="s">
        <v>29</v>
      </c>
      <c r="I65" s="4">
        <v>500</v>
      </c>
      <c r="J65" s="4">
        <v>27.99</v>
      </c>
      <c r="K65" s="4">
        <v>13995</v>
      </c>
      <c r="L65" s="2">
        <v>92.5</v>
      </c>
      <c r="M65" s="2" t="s">
        <v>37</v>
      </c>
      <c r="N65" s="2">
        <v>10</v>
      </c>
      <c r="O65" s="2">
        <v>769.7</v>
      </c>
      <c r="P65" s="2" t="s">
        <v>68</v>
      </c>
      <c r="Q65" s="2" t="s">
        <v>62</v>
      </c>
    </row>
    <row r="66" spans="1:17" x14ac:dyDescent="0.25">
      <c r="A66" s="2" t="s">
        <v>144</v>
      </c>
      <c r="B66" s="3">
        <v>46165</v>
      </c>
      <c r="C66" s="2" t="s">
        <v>27</v>
      </c>
      <c r="D66" s="2" t="s">
        <v>87</v>
      </c>
      <c r="E66" s="2" t="s">
        <v>65</v>
      </c>
      <c r="F66" s="2" t="s">
        <v>66</v>
      </c>
      <c r="G66" s="2" t="s">
        <v>67</v>
      </c>
      <c r="H66" s="2" t="s">
        <v>78</v>
      </c>
      <c r="I66" s="4">
        <v>750</v>
      </c>
      <c r="J66" s="4">
        <v>16.61</v>
      </c>
      <c r="K66" s="4">
        <v>12457.5</v>
      </c>
      <c r="L66" s="2">
        <v>86.8</v>
      </c>
      <c r="M66" s="2" t="s">
        <v>37</v>
      </c>
      <c r="N66" s="2">
        <v>14</v>
      </c>
      <c r="O66" s="2">
        <v>1232.5999999999999</v>
      </c>
      <c r="P66" s="2" t="s">
        <v>31</v>
      </c>
      <c r="Q66" s="2" t="s">
        <v>62</v>
      </c>
    </row>
    <row r="67" spans="1:17" x14ac:dyDescent="0.25">
      <c r="A67" s="2" t="s">
        <v>145</v>
      </c>
      <c r="B67" s="3">
        <v>46170</v>
      </c>
      <c r="C67" s="2" t="s">
        <v>18</v>
      </c>
      <c r="D67" s="2" t="s">
        <v>87</v>
      </c>
      <c r="E67" s="2" t="s">
        <v>65</v>
      </c>
      <c r="F67" s="2" t="s">
        <v>66</v>
      </c>
      <c r="G67" s="2" t="s">
        <v>67</v>
      </c>
      <c r="H67" s="2" t="s">
        <v>29</v>
      </c>
      <c r="I67" s="4">
        <v>500</v>
      </c>
      <c r="J67" s="4">
        <v>16.28</v>
      </c>
      <c r="K67" s="4">
        <v>8140</v>
      </c>
      <c r="L67" s="2">
        <v>84.8</v>
      </c>
      <c r="M67" s="2" t="s">
        <v>37</v>
      </c>
      <c r="N67" s="2">
        <v>15</v>
      </c>
      <c r="O67" s="2">
        <v>883.6</v>
      </c>
      <c r="P67" s="2" t="s">
        <v>61</v>
      </c>
      <c r="Q67" s="2" t="s">
        <v>38</v>
      </c>
    </row>
    <row r="68" spans="1:17" x14ac:dyDescent="0.25">
      <c r="A68" s="2" t="s">
        <v>146</v>
      </c>
      <c r="B68" s="3">
        <v>46259</v>
      </c>
      <c r="C68" s="2" t="s">
        <v>82</v>
      </c>
      <c r="D68" s="2" t="s">
        <v>28</v>
      </c>
      <c r="E68" s="2" t="s">
        <v>104</v>
      </c>
      <c r="F68" s="2" t="s">
        <v>95</v>
      </c>
      <c r="G68" s="2" t="s">
        <v>96</v>
      </c>
      <c r="H68" s="2" t="s">
        <v>23</v>
      </c>
      <c r="I68" s="4">
        <v>2000</v>
      </c>
      <c r="J68" s="4">
        <v>19.89</v>
      </c>
      <c r="K68" s="4">
        <v>39780</v>
      </c>
      <c r="L68" s="2">
        <v>88.7</v>
      </c>
      <c r="M68" s="2" t="s">
        <v>30</v>
      </c>
      <c r="N68" s="2">
        <v>11</v>
      </c>
      <c r="O68" s="2">
        <v>1847.8</v>
      </c>
      <c r="P68" s="2" t="s">
        <v>44</v>
      </c>
      <c r="Q68" s="2" t="s">
        <v>53</v>
      </c>
    </row>
    <row r="69" spans="1:17" x14ac:dyDescent="0.25">
      <c r="A69" s="2" t="s">
        <v>147</v>
      </c>
      <c r="B69" s="3">
        <v>46247</v>
      </c>
      <c r="C69" s="2" t="s">
        <v>18</v>
      </c>
      <c r="D69" s="2" t="s">
        <v>40</v>
      </c>
      <c r="E69" s="2" t="s">
        <v>41</v>
      </c>
      <c r="F69" s="2" t="s">
        <v>42</v>
      </c>
      <c r="G69" s="2" t="s">
        <v>43</v>
      </c>
      <c r="H69" s="2" t="s">
        <v>58</v>
      </c>
      <c r="I69" s="4">
        <v>500</v>
      </c>
      <c r="J69" s="4">
        <v>27.42</v>
      </c>
      <c r="K69" s="4">
        <v>13710</v>
      </c>
      <c r="L69" s="2">
        <v>91.1</v>
      </c>
      <c r="M69" s="2" t="s">
        <v>37</v>
      </c>
      <c r="N69" s="2">
        <v>18</v>
      </c>
      <c r="O69" s="2">
        <v>520.9</v>
      </c>
      <c r="P69" s="2" t="s">
        <v>25</v>
      </c>
      <c r="Q69" s="2" t="s">
        <v>38</v>
      </c>
    </row>
    <row r="70" spans="1:17" x14ac:dyDescent="0.25">
      <c r="A70" s="2" t="s">
        <v>148</v>
      </c>
      <c r="B70" s="3">
        <v>46070</v>
      </c>
      <c r="C70" s="2" t="s">
        <v>27</v>
      </c>
      <c r="D70" s="2" t="s">
        <v>70</v>
      </c>
      <c r="E70" s="2" t="s">
        <v>88</v>
      </c>
      <c r="F70" s="2" t="s">
        <v>89</v>
      </c>
      <c r="G70" s="2" t="s">
        <v>90</v>
      </c>
      <c r="H70" s="2" t="s">
        <v>78</v>
      </c>
      <c r="I70" s="4">
        <v>750</v>
      </c>
      <c r="J70" s="4">
        <v>20.43</v>
      </c>
      <c r="K70" s="4">
        <v>15322.5</v>
      </c>
      <c r="L70" s="2">
        <v>81.3</v>
      </c>
      <c r="M70" s="2" t="s">
        <v>37</v>
      </c>
      <c r="N70" s="2">
        <v>40</v>
      </c>
      <c r="O70" s="2">
        <v>1107</v>
      </c>
      <c r="P70" s="2" t="s">
        <v>61</v>
      </c>
      <c r="Q70" s="2" t="s">
        <v>62</v>
      </c>
    </row>
    <row r="71" spans="1:17" x14ac:dyDescent="0.25">
      <c r="A71" s="2" t="s">
        <v>91</v>
      </c>
      <c r="B71" s="3">
        <v>46102</v>
      </c>
      <c r="C71" s="2" t="s">
        <v>27</v>
      </c>
      <c r="D71" s="2" t="s">
        <v>19</v>
      </c>
      <c r="E71" s="2" t="s">
        <v>65</v>
      </c>
      <c r="F71" s="2" t="s">
        <v>66</v>
      </c>
      <c r="G71" s="2" t="s">
        <v>67</v>
      </c>
      <c r="H71" s="2" t="s">
        <v>23</v>
      </c>
      <c r="I71" s="4">
        <v>500</v>
      </c>
      <c r="J71" s="4">
        <v>18.95</v>
      </c>
      <c r="K71" s="4">
        <v>9475</v>
      </c>
      <c r="L71" s="2">
        <v>89.7</v>
      </c>
      <c r="M71" s="2" t="s">
        <v>37</v>
      </c>
      <c r="N71" s="2">
        <v>11</v>
      </c>
      <c r="O71" s="2">
        <v>377.6</v>
      </c>
      <c r="P71" s="2" t="s">
        <v>61</v>
      </c>
      <c r="Q71" s="2" t="s">
        <v>38</v>
      </c>
    </row>
    <row r="72" spans="1:17" x14ac:dyDescent="0.25">
      <c r="A72" s="2" t="s">
        <v>149</v>
      </c>
      <c r="B72" s="3">
        <v>46024</v>
      </c>
      <c r="C72" s="2" t="s">
        <v>33</v>
      </c>
      <c r="D72" s="2" t="s">
        <v>19</v>
      </c>
      <c r="E72" s="2" t="s">
        <v>41</v>
      </c>
      <c r="F72" s="2" t="s">
        <v>42</v>
      </c>
      <c r="G72" s="2" t="s">
        <v>43</v>
      </c>
      <c r="H72" s="2" t="s">
        <v>29</v>
      </c>
      <c r="I72" s="4">
        <v>3000</v>
      </c>
      <c r="J72" s="4">
        <v>25.1</v>
      </c>
      <c r="K72" s="4">
        <v>75300</v>
      </c>
      <c r="L72" s="2">
        <v>87.6</v>
      </c>
      <c r="M72" s="2" t="s">
        <v>30</v>
      </c>
      <c r="N72" s="2">
        <v>30</v>
      </c>
      <c r="O72" s="2">
        <v>3197.1</v>
      </c>
      <c r="P72" s="2" t="s">
        <v>44</v>
      </c>
      <c r="Q72" s="2" t="s">
        <v>62</v>
      </c>
    </row>
    <row r="73" spans="1:17" x14ac:dyDescent="0.25">
      <c r="A73" s="2" t="s">
        <v>150</v>
      </c>
      <c r="B73" s="3">
        <v>46187</v>
      </c>
      <c r="C73" s="2" t="s">
        <v>27</v>
      </c>
      <c r="D73" s="2" t="s">
        <v>48</v>
      </c>
      <c r="E73" s="2" t="s">
        <v>65</v>
      </c>
      <c r="F73" s="2" t="s">
        <v>66</v>
      </c>
      <c r="G73" s="2" t="s">
        <v>67</v>
      </c>
      <c r="H73" s="2" t="s">
        <v>29</v>
      </c>
      <c r="I73" s="4">
        <v>2500</v>
      </c>
      <c r="J73" s="4">
        <v>11.52</v>
      </c>
      <c r="K73" s="4">
        <v>28800</v>
      </c>
      <c r="L73" s="2">
        <v>94.7</v>
      </c>
      <c r="M73" s="2" t="s">
        <v>37</v>
      </c>
      <c r="N73" s="2">
        <v>28</v>
      </c>
      <c r="O73" s="2">
        <v>3797.9</v>
      </c>
      <c r="P73" s="2" t="s">
        <v>61</v>
      </c>
      <c r="Q73" s="2" t="s">
        <v>62</v>
      </c>
    </row>
    <row r="74" spans="1:17" x14ac:dyDescent="0.25">
      <c r="A74" s="2" t="s">
        <v>151</v>
      </c>
      <c r="B74" s="3">
        <v>46276</v>
      </c>
      <c r="C74" s="2" t="s">
        <v>47</v>
      </c>
      <c r="D74" s="2" t="s">
        <v>64</v>
      </c>
      <c r="E74" s="2" t="s">
        <v>34</v>
      </c>
      <c r="F74" s="2" t="s">
        <v>35</v>
      </c>
      <c r="G74" s="2" t="s">
        <v>36</v>
      </c>
      <c r="H74" s="2" t="s">
        <v>29</v>
      </c>
      <c r="I74" s="4">
        <v>2000</v>
      </c>
      <c r="J74" s="4">
        <v>25.2</v>
      </c>
      <c r="K74" s="4">
        <v>50400</v>
      </c>
      <c r="L74" s="2">
        <v>96.8</v>
      </c>
      <c r="M74" s="2" t="s">
        <v>30</v>
      </c>
      <c r="N74" s="2">
        <v>14</v>
      </c>
      <c r="O74" s="2">
        <v>2557.1</v>
      </c>
      <c r="P74" s="2" t="s">
        <v>61</v>
      </c>
      <c r="Q74" s="2"/>
    </row>
    <row r="75" spans="1:17" x14ac:dyDescent="0.25">
      <c r="A75" s="2" t="s">
        <v>152</v>
      </c>
      <c r="B75" s="3">
        <v>46232</v>
      </c>
      <c r="C75" s="2" t="s">
        <v>18</v>
      </c>
      <c r="D75" s="2" t="s">
        <v>64</v>
      </c>
      <c r="E75" s="2" t="s">
        <v>34</v>
      </c>
      <c r="F75" s="2" t="s">
        <v>35</v>
      </c>
      <c r="G75" s="2" t="s">
        <v>36</v>
      </c>
      <c r="H75" s="2" t="s">
        <v>58</v>
      </c>
      <c r="I75" s="4">
        <v>3000</v>
      </c>
      <c r="J75" s="4">
        <v>23.3</v>
      </c>
      <c r="K75" s="4">
        <v>69900</v>
      </c>
      <c r="L75" s="2">
        <v>83.7</v>
      </c>
      <c r="M75" s="2" t="s">
        <v>24</v>
      </c>
      <c r="N75" s="2">
        <v>33</v>
      </c>
      <c r="O75" s="2">
        <v>4244.5</v>
      </c>
      <c r="P75" s="2" t="s">
        <v>31</v>
      </c>
      <c r="Q75" s="2"/>
    </row>
    <row r="76" spans="1:17" x14ac:dyDescent="0.25">
      <c r="A76" s="2" t="s">
        <v>153</v>
      </c>
      <c r="B76" s="3">
        <v>46185</v>
      </c>
      <c r="C76" s="2" t="s">
        <v>18</v>
      </c>
      <c r="D76" s="2" t="s">
        <v>40</v>
      </c>
      <c r="E76" s="2" t="s">
        <v>88</v>
      </c>
      <c r="F76" s="2" t="s">
        <v>89</v>
      </c>
      <c r="G76" s="2" t="s">
        <v>90</v>
      </c>
      <c r="H76" s="2" t="s">
        <v>29</v>
      </c>
      <c r="I76" s="4">
        <v>500</v>
      </c>
      <c r="J76" s="4">
        <v>19.78</v>
      </c>
      <c r="K76" s="4">
        <v>9890</v>
      </c>
      <c r="L76" s="2">
        <v>83</v>
      </c>
      <c r="M76" s="2" t="s">
        <v>37</v>
      </c>
      <c r="N76" s="2">
        <v>22</v>
      </c>
      <c r="O76" s="2">
        <v>760.7</v>
      </c>
      <c r="P76" s="2" t="s">
        <v>61</v>
      </c>
      <c r="Q76" s="2"/>
    </row>
    <row r="77" spans="1:17" x14ac:dyDescent="0.25">
      <c r="A77" s="2" t="s">
        <v>154</v>
      </c>
      <c r="B77" s="3">
        <v>46250</v>
      </c>
      <c r="C77" s="2" t="s">
        <v>27</v>
      </c>
      <c r="D77" s="2" t="s">
        <v>19</v>
      </c>
      <c r="E77" s="2" t="s">
        <v>20</v>
      </c>
      <c r="F77" s="2" t="s">
        <v>21</v>
      </c>
      <c r="G77" s="2" t="s">
        <v>22</v>
      </c>
      <c r="H77" s="2" t="s">
        <v>58</v>
      </c>
      <c r="I77" s="4">
        <v>500</v>
      </c>
      <c r="J77" s="4">
        <v>13.47</v>
      </c>
      <c r="K77" s="4">
        <v>6735</v>
      </c>
      <c r="L77" s="2">
        <v>79.2</v>
      </c>
      <c r="M77" s="2" t="s">
        <v>37</v>
      </c>
      <c r="N77" s="2">
        <v>31</v>
      </c>
      <c r="O77" s="2">
        <v>586.9</v>
      </c>
      <c r="P77" s="2" t="s">
        <v>68</v>
      </c>
      <c r="Q77" s="2" t="s">
        <v>38</v>
      </c>
    </row>
    <row r="78" spans="1:17" x14ac:dyDescent="0.25">
      <c r="A78" s="2" t="s">
        <v>155</v>
      </c>
      <c r="B78" s="3">
        <v>46115</v>
      </c>
      <c r="C78" s="2" t="s">
        <v>156</v>
      </c>
      <c r="D78" s="2" t="s">
        <v>64</v>
      </c>
      <c r="E78" s="2" t="s">
        <v>88</v>
      </c>
      <c r="F78" s="2" t="s">
        <v>89</v>
      </c>
      <c r="G78" s="2" t="s">
        <v>90</v>
      </c>
      <c r="H78" s="2" t="s">
        <v>58</v>
      </c>
      <c r="I78" s="4">
        <v>2500</v>
      </c>
      <c r="J78" s="4">
        <v>19.82</v>
      </c>
      <c r="K78" s="4">
        <v>49550</v>
      </c>
      <c r="L78" s="2">
        <v>83.2</v>
      </c>
      <c r="M78" s="2" t="s">
        <v>24</v>
      </c>
      <c r="N78" s="2">
        <v>17</v>
      </c>
      <c r="O78" s="2">
        <v>2388.5</v>
      </c>
      <c r="P78" s="2" t="s">
        <v>31</v>
      </c>
      <c r="Q78" s="2" t="s">
        <v>62</v>
      </c>
    </row>
    <row r="79" spans="1:17" x14ac:dyDescent="0.25">
      <c r="A79" s="2" t="s">
        <v>157</v>
      </c>
      <c r="B79" s="3">
        <v>46027</v>
      </c>
      <c r="C79" s="2" t="s">
        <v>82</v>
      </c>
      <c r="D79" s="2" t="s">
        <v>19</v>
      </c>
      <c r="E79" s="2" t="s">
        <v>41</v>
      </c>
      <c r="F79" s="2" t="s">
        <v>42</v>
      </c>
      <c r="G79" s="2" t="s">
        <v>43</v>
      </c>
      <c r="H79" s="2" t="s">
        <v>29</v>
      </c>
      <c r="I79" s="4">
        <v>1000</v>
      </c>
      <c r="J79" s="4">
        <v>8.09</v>
      </c>
      <c r="K79" s="4">
        <v>8090</v>
      </c>
      <c r="L79" s="2">
        <v>98.3</v>
      </c>
      <c r="M79" s="2" t="s">
        <v>24</v>
      </c>
      <c r="N79" s="2">
        <v>27</v>
      </c>
      <c r="O79" s="2">
        <v>1402.8</v>
      </c>
      <c r="P79" s="2" t="s">
        <v>61</v>
      </c>
      <c r="Q79" s="2"/>
    </row>
    <row r="80" spans="1:17" x14ac:dyDescent="0.25">
      <c r="A80" s="2" t="s">
        <v>158</v>
      </c>
      <c r="B80" s="3">
        <v>46256</v>
      </c>
      <c r="C80" s="2" t="s">
        <v>33</v>
      </c>
      <c r="D80" s="2" t="s">
        <v>48</v>
      </c>
      <c r="E80" s="2" t="s">
        <v>41</v>
      </c>
      <c r="F80" s="2" t="s">
        <v>42</v>
      </c>
      <c r="G80" s="2" t="s">
        <v>43</v>
      </c>
      <c r="H80" s="2" t="s">
        <v>78</v>
      </c>
      <c r="I80" s="4">
        <v>3000</v>
      </c>
      <c r="J80" s="4">
        <v>8.7899999999999991</v>
      </c>
      <c r="K80" s="4">
        <v>26370</v>
      </c>
      <c r="L80" s="2">
        <v>86.2</v>
      </c>
      <c r="M80" s="2" t="s">
        <v>37</v>
      </c>
      <c r="N80" s="2">
        <v>26</v>
      </c>
      <c r="O80" s="2">
        <v>5375.9</v>
      </c>
      <c r="P80" s="2" t="s">
        <v>31</v>
      </c>
      <c r="Q80" s="2"/>
    </row>
    <row r="81" spans="1:17" x14ac:dyDescent="0.25">
      <c r="A81" s="2" t="s">
        <v>159</v>
      </c>
      <c r="B81" s="3">
        <v>46163</v>
      </c>
      <c r="C81" s="2" t="s">
        <v>47</v>
      </c>
      <c r="D81" s="2" t="s">
        <v>28</v>
      </c>
      <c r="E81" s="2" t="s">
        <v>88</v>
      </c>
      <c r="F81" s="2" t="s">
        <v>89</v>
      </c>
      <c r="G81" s="2" t="s">
        <v>90</v>
      </c>
      <c r="H81" s="2" t="s">
        <v>29</v>
      </c>
      <c r="I81" s="4">
        <v>3000</v>
      </c>
      <c r="J81" s="4">
        <v>24.41</v>
      </c>
      <c r="K81" s="4">
        <v>73230</v>
      </c>
      <c r="L81" s="2">
        <v>97.4</v>
      </c>
      <c r="M81" s="2" t="s">
        <v>37</v>
      </c>
      <c r="N81" s="2">
        <v>30</v>
      </c>
      <c r="O81" s="2">
        <v>2822.7</v>
      </c>
      <c r="P81" s="2" t="s">
        <v>68</v>
      </c>
      <c r="Q81" s="2" t="s">
        <v>38</v>
      </c>
    </row>
    <row r="82" spans="1:17" x14ac:dyDescent="0.25">
      <c r="A82" s="2" t="s">
        <v>160</v>
      </c>
      <c r="B82" s="3">
        <v>46093</v>
      </c>
      <c r="C82" s="2" t="s">
        <v>18</v>
      </c>
      <c r="D82" s="2" t="s">
        <v>70</v>
      </c>
      <c r="E82" s="2" t="s">
        <v>41</v>
      </c>
      <c r="F82" s="2" t="s">
        <v>42</v>
      </c>
      <c r="G82" s="2" t="s">
        <v>43</v>
      </c>
      <c r="H82" s="2" t="s">
        <v>58</v>
      </c>
      <c r="I82" s="4">
        <v>1500</v>
      </c>
      <c r="J82" s="4">
        <v>23.46</v>
      </c>
      <c r="K82" s="4">
        <v>35190</v>
      </c>
      <c r="L82" s="2">
        <v>78.7</v>
      </c>
      <c r="M82" s="2" t="s">
        <v>37</v>
      </c>
      <c r="N82" s="2">
        <v>16</v>
      </c>
      <c r="O82" s="2">
        <v>1198.7</v>
      </c>
      <c r="P82" s="2" t="s">
        <v>31</v>
      </c>
      <c r="Q82" s="2" t="s">
        <v>45</v>
      </c>
    </row>
    <row r="83" spans="1:17" x14ac:dyDescent="0.25">
      <c r="A83" s="2" t="s">
        <v>161</v>
      </c>
      <c r="B83" s="3">
        <v>46112</v>
      </c>
      <c r="C83" s="2" t="s">
        <v>27</v>
      </c>
      <c r="D83" s="2" t="s">
        <v>64</v>
      </c>
      <c r="E83" s="2" t="s">
        <v>88</v>
      </c>
      <c r="F83" s="2" t="s">
        <v>89</v>
      </c>
      <c r="G83" s="2" t="s">
        <v>90</v>
      </c>
      <c r="H83" s="2" t="s">
        <v>29</v>
      </c>
      <c r="I83" s="4">
        <v>2000</v>
      </c>
      <c r="J83" s="4">
        <v>17.91</v>
      </c>
      <c r="K83" s="4">
        <v>35820</v>
      </c>
      <c r="L83" s="2">
        <v>97.6</v>
      </c>
      <c r="M83" s="2" t="s">
        <v>37</v>
      </c>
      <c r="N83" s="2">
        <v>24</v>
      </c>
      <c r="O83" s="2">
        <v>3410.9</v>
      </c>
      <c r="P83" s="2" t="s">
        <v>61</v>
      </c>
      <c r="Q83" s="2" t="s">
        <v>45</v>
      </c>
    </row>
    <row r="84" spans="1:17" x14ac:dyDescent="0.25">
      <c r="A84" s="2" t="s">
        <v>162</v>
      </c>
      <c r="B84" s="3">
        <v>46081</v>
      </c>
      <c r="C84" s="2" t="s">
        <v>82</v>
      </c>
      <c r="D84" s="2" t="s">
        <v>70</v>
      </c>
      <c r="E84" s="2" t="s">
        <v>55</v>
      </c>
      <c r="F84" s="2" t="s">
        <v>56</v>
      </c>
      <c r="G84" s="2" t="s">
        <v>57</v>
      </c>
      <c r="H84" s="2" t="s">
        <v>23</v>
      </c>
      <c r="I84" s="4">
        <v>1250</v>
      </c>
      <c r="J84" s="4">
        <v>24.99</v>
      </c>
      <c r="K84" s="4">
        <v>31237.5</v>
      </c>
      <c r="L84" s="2">
        <v>93.6</v>
      </c>
      <c r="M84" s="2" t="s">
        <v>30</v>
      </c>
      <c r="N84" s="2">
        <v>31</v>
      </c>
      <c r="O84" s="2">
        <v>999.2</v>
      </c>
      <c r="P84" s="2" t="s">
        <v>61</v>
      </c>
      <c r="Q84" s="2"/>
    </row>
    <row r="85" spans="1:17" x14ac:dyDescent="0.25">
      <c r="A85" s="2" t="s">
        <v>163</v>
      </c>
      <c r="B85" s="3">
        <v>46086</v>
      </c>
      <c r="C85" s="2" t="s">
        <v>82</v>
      </c>
      <c r="D85" s="2" t="s">
        <v>74</v>
      </c>
      <c r="E85" s="2" t="s">
        <v>41</v>
      </c>
      <c r="F85" s="2" t="s">
        <v>42</v>
      </c>
      <c r="G85" s="2" t="s">
        <v>43</v>
      </c>
      <c r="H85" s="2" t="s">
        <v>52</v>
      </c>
      <c r="I85" s="4">
        <v>2500</v>
      </c>
      <c r="J85" s="4">
        <v>24.18</v>
      </c>
      <c r="K85" s="4">
        <v>60450</v>
      </c>
      <c r="L85" s="2"/>
      <c r="M85" s="2" t="s">
        <v>37</v>
      </c>
      <c r="N85" s="2">
        <v>22</v>
      </c>
      <c r="O85" s="2">
        <v>3046.6</v>
      </c>
      <c r="P85" s="2" t="s">
        <v>44</v>
      </c>
      <c r="Q85" s="2" t="s">
        <v>38</v>
      </c>
    </row>
    <row r="86" spans="1:17" x14ac:dyDescent="0.25">
      <c r="A86" s="2" t="s">
        <v>164</v>
      </c>
      <c r="B86" s="3">
        <v>46136</v>
      </c>
      <c r="C86" s="2" t="s">
        <v>18</v>
      </c>
      <c r="D86" s="2" t="s">
        <v>70</v>
      </c>
      <c r="E86" s="2" t="s">
        <v>55</v>
      </c>
      <c r="F86" s="2" t="s">
        <v>56</v>
      </c>
      <c r="G86" s="2" t="s">
        <v>57</v>
      </c>
      <c r="H86" s="2" t="s">
        <v>78</v>
      </c>
      <c r="I86" s="4">
        <v>1500</v>
      </c>
      <c r="J86" s="4">
        <v>20.46</v>
      </c>
      <c r="K86" s="4">
        <v>30690</v>
      </c>
      <c r="L86" s="2">
        <v>80.5</v>
      </c>
      <c r="M86" s="2" t="s">
        <v>37</v>
      </c>
      <c r="N86" s="2">
        <v>10</v>
      </c>
      <c r="O86" s="2">
        <v>1552.2</v>
      </c>
      <c r="P86" s="2" t="s">
        <v>61</v>
      </c>
      <c r="Q86" s="2"/>
    </row>
    <row r="87" spans="1:17" x14ac:dyDescent="0.25">
      <c r="A87" s="2" t="s">
        <v>165</v>
      </c>
      <c r="B87" s="3">
        <v>46143</v>
      </c>
      <c r="C87" s="2" t="s">
        <v>84</v>
      </c>
      <c r="D87" s="2" t="s">
        <v>64</v>
      </c>
      <c r="E87" s="2" t="s">
        <v>20</v>
      </c>
      <c r="F87" s="2" t="s">
        <v>21</v>
      </c>
      <c r="G87" s="2" t="s">
        <v>22</v>
      </c>
      <c r="H87" s="2" t="s">
        <v>78</v>
      </c>
      <c r="I87" s="4">
        <v>3000</v>
      </c>
      <c r="J87" s="4">
        <v>14.48</v>
      </c>
      <c r="K87" s="4">
        <v>43440</v>
      </c>
      <c r="L87" s="2">
        <v>98.4</v>
      </c>
      <c r="M87" s="2" t="s">
        <v>24</v>
      </c>
      <c r="N87" s="2">
        <v>34</v>
      </c>
      <c r="O87" s="2">
        <v>4038.2</v>
      </c>
      <c r="P87" s="2" t="s">
        <v>68</v>
      </c>
      <c r="Q87" s="2" t="s">
        <v>62</v>
      </c>
    </row>
    <row r="88" spans="1:17" x14ac:dyDescent="0.25">
      <c r="A88" s="2" t="s">
        <v>166</v>
      </c>
      <c r="B88" s="3">
        <v>46273</v>
      </c>
      <c r="C88" s="2" t="s">
        <v>84</v>
      </c>
      <c r="D88" s="2" t="s">
        <v>87</v>
      </c>
      <c r="E88" s="2" t="s">
        <v>20</v>
      </c>
      <c r="F88" s="2" t="s">
        <v>21</v>
      </c>
      <c r="G88" s="2" t="s">
        <v>22</v>
      </c>
      <c r="H88" s="2" t="s">
        <v>52</v>
      </c>
      <c r="I88" s="4">
        <v>500</v>
      </c>
      <c r="J88" s="4">
        <v>21.34</v>
      </c>
      <c r="K88" s="4">
        <v>10670</v>
      </c>
      <c r="L88" s="2">
        <v>82.7</v>
      </c>
      <c r="M88" s="2" t="s">
        <v>30</v>
      </c>
      <c r="N88" s="2">
        <v>23</v>
      </c>
      <c r="O88" s="2">
        <v>820.5</v>
      </c>
      <c r="P88" s="2" t="s">
        <v>25</v>
      </c>
      <c r="Q88" s="2"/>
    </row>
    <row r="89" spans="1:17" x14ac:dyDescent="0.25">
      <c r="A89" s="2" t="s">
        <v>167</v>
      </c>
      <c r="B89" s="3">
        <v>46206</v>
      </c>
      <c r="C89" s="2" t="s">
        <v>47</v>
      </c>
      <c r="D89" s="2" t="s">
        <v>87</v>
      </c>
      <c r="E89" s="2" t="s">
        <v>55</v>
      </c>
      <c r="F89" s="2" t="s">
        <v>56</v>
      </c>
      <c r="G89" s="2" t="s">
        <v>57</v>
      </c>
      <c r="H89" s="2" t="s">
        <v>52</v>
      </c>
      <c r="I89" s="4">
        <v>1250</v>
      </c>
      <c r="J89" s="4">
        <v>27.32</v>
      </c>
      <c r="K89" s="4">
        <v>34150</v>
      </c>
      <c r="L89" s="2">
        <v>98.4</v>
      </c>
      <c r="M89" s="2" t="s">
        <v>30</v>
      </c>
      <c r="N89" s="2">
        <v>13</v>
      </c>
      <c r="O89" s="2">
        <v>1786.3</v>
      </c>
      <c r="P89" s="2" t="s">
        <v>44</v>
      </c>
      <c r="Q89" s="2"/>
    </row>
    <row r="90" spans="1:17" x14ac:dyDescent="0.25">
      <c r="A90" s="2" t="s">
        <v>168</v>
      </c>
      <c r="B90" s="3">
        <v>46193</v>
      </c>
      <c r="C90" s="2" t="s">
        <v>27</v>
      </c>
      <c r="D90" s="2" t="s">
        <v>169</v>
      </c>
      <c r="E90" s="2" t="s">
        <v>104</v>
      </c>
      <c r="F90" s="2" t="s">
        <v>95</v>
      </c>
      <c r="G90" s="2" t="s">
        <v>96</v>
      </c>
      <c r="H90" s="2" t="s">
        <v>29</v>
      </c>
      <c r="I90" s="4">
        <v>1250</v>
      </c>
      <c r="J90" s="4">
        <v>7.98</v>
      </c>
      <c r="K90" s="4">
        <v>9975</v>
      </c>
      <c r="L90" s="2">
        <v>94.5</v>
      </c>
      <c r="M90" s="2" t="s">
        <v>37</v>
      </c>
      <c r="N90" s="2">
        <v>21</v>
      </c>
      <c r="O90" s="2">
        <v>1992.9</v>
      </c>
      <c r="P90" s="2" t="s">
        <v>68</v>
      </c>
      <c r="Q90" s="2" t="s">
        <v>45</v>
      </c>
    </row>
    <row r="91" spans="1:17" x14ac:dyDescent="0.25">
      <c r="A91" s="2" t="s">
        <v>170</v>
      </c>
      <c r="B91" s="3">
        <v>46024</v>
      </c>
      <c r="C91" s="2" t="s">
        <v>33</v>
      </c>
      <c r="D91" s="2" t="s">
        <v>64</v>
      </c>
      <c r="E91" s="2" t="s">
        <v>34</v>
      </c>
      <c r="F91" s="2" t="s">
        <v>35</v>
      </c>
      <c r="G91" s="2" t="s">
        <v>36</v>
      </c>
      <c r="H91" s="2" t="s">
        <v>23</v>
      </c>
      <c r="I91" s="4">
        <v>1500</v>
      </c>
      <c r="J91" s="4">
        <v>23.67</v>
      </c>
      <c r="K91" s="4">
        <v>35505</v>
      </c>
      <c r="L91" s="2">
        <v>80.400000000000006</v>
      </c>
      <c r="M91" s="2" t="s">
        <v>37</v>
      </c>
      <c r="N91" s="2">
        <v>16</v>
      </c>
      <c r="O91" s="2">
        <v>1074.5</v>
      </c>
      <c r="P91" s="2" t="s">
        <v>68</v>
      </c>
      <c r="Q91" s="2" t="s">
        <v>38</v>
      </c>
    </row>
    <row r="92" spans="1:17" x14ac:dyDescent="0.25">
      <c r="A92" s="2" t="s">
        <v>171</v>
      </c>
      <c r="B92" s="3">
        <v>46031</v>
      </c>
      <c r="C92" s="2" t="s">
        <v>27</v>
      </c>
      <c r="D92" s="2" t="s">
        <v>19</v>
      </c>
      <c r="E92" s="2" t="s">
        <v>55</v>
      </c>
      <c r="F92" s="2" t="s">
        <v>56</v>
      </c>
      <c r="G92" s="2" t="s">
        <v>57</v>
      </c>
      <c r="H92" s="2" t="s">
        <v>58</v>
      </c>
      <c r="I92" s="4">
        <v>1000</v>
      </c>
      <c r="J92" s="4">
        <v>22.45</v>
      </c>
      <c r="K92" s="4">
        <v>22450</v>
      </c>
      <c r="L92" s="2">
        <v>89.3</v>
      </c>
      <c r="M92" s="2" t="s">
        <v>37</v>
      </c>
      <c r="N92" s="2">
        <v>38</v>
      </c>
      <c r="O92" s="2">
        <v>1193.0999999999999</v>
      </c>
      <c r="P92" s="2" t="s">
        <v>31</v>
      </c>
      <c r="Q92" s="2" t="s">
        <v>38</v>
      </c>
    </row>
    <row r="93" spans="1:17" x14ac:dyDescent="0.25">
      <c r="A93" s="2" t="s">
        <v>172</v>
      </c>
      <c r="B93" s="3">
        <v>46254</v>
      </c>
      <c r="C93" s="2" t="s">
        <v>84</v>
      </c>
      <c r="D93" s="2" t="s">
        <v>48</v>
      </c>
      <c r="E93" s="2" t="s">
        <v>20</v>
      </c>
      <c r="F93" s="2" t="s">
        <v>21</v>
      </c>
      <c r="G93" s="2" t="s">
        <v>22</v>
      </c>
      <c r="H93" s="2" t="s">
        <v>29</v>
      </c>
      <c r="I93" s="4">
        <v>500</v>
      </c>
      <c r="J93" s="4">
        <v>22.14</v>
      </c>
      <c r="K93" s="4">
        <v>11070</v>
      </c>
      <c r="L93" s="2">
        <v>97.5</v>
      </c>
      <c r="M93" s="2" t="s">
        <v>24</v>
      </c>
      <c r="N93" s="2">
        <v>27</v>
      </c>
      <c r="O93" s="2">
        <v>601.9</v>
      </c>
      <c r="P93" s="2" t="s">
        <v>25</v>
      </c>
      <c r="Q93" s="2"/>
    </row>
    <row r="94" spans="1:17" x14ac:dyDescent="0.25">
      <c r="A94" s="2" t="s">
        <v>173</v>
      </c>
      <c r="B94" s="3">
        <v>46228</v>
      </c>
      <c r="C94" s="2" t="s">
        <v>82</v>
      </c>
      <c r="D94" s="2" t="s">
        <v>70</v>
      </c>
      <c r="E94" s="2" t="s">
        <v>65</v>
      </c>
      <c r="F94" s="2" t="s">
        <v>66</v>
      </c>
      <c r="G94" s="2" t="s">
        <v>67</v>
      </c>
      <c r="H94" s="2" t="s">
        <v>78</v>
      </c>
      <c r="I94" s="4">
        <v>3000</v>
      </c>
      <c r="J94" s="4">
        <v>8.08</v>
      </c>
      <c r="K94" s="4">
        <v>24240</v>
      </c>
      <c r="L94" s="2">
        <v>79.7</v>
      </c>
      <c r="M94" s="2" t="s">
        <v>24</v>
      </c>
      <c r="N94" s="2">
        <v>17</v>
      </c>
      <c r="O94" s="2">
        <v>2316.8000000000002</v>
      </c>
      <c r="P94" s="2" t="s">
        <v>31</v>
      </c>
      <c r="Q94" s="2" t="s">
        <v>38</v>
      </c>
    </row>
    <row r="95" spans="1:17" x14ac:dyDescent="0.25">
      <c r="A95" s="2" t="s">
        <v>174</v>
      </c>
      <c r="B95" s="3">
        <v>46218</v>
      </c>
      <c r="C95" s="2" t="s">
        <v>84</v>
      </c>
      <c r="D95" s="2" t="s">
        <v>19</v>
      </c>
      <c r="E95" s="2" t="s">
        <v>55</v>
      </c>
      <c r="F95" s="2" t="s">
        <v>56</v>
      </c>
      <c r="G95" s="2" t="s">
        <v>57</v>
      </c>
      <c r="H95" s="2" t="s">
        <v>78</v>
      </c>
      <c r="I95" s="4">
        <v>2500</v>
      </c>
      <c r="J95" s="4">
        <v>8.6300000000000008</v>
      </c>
      <c r="K95" s="4">
        <v>21575</v>
      </c>
      <c r="L95" s="2">
        <v>93.1</v>
      </c>
      <c r="M95" s="2" t="s">
        <v>24</v>
      </c>
      <c r="N95" s="2">
        <v>21</v>
      </c>
      <c r="O95" s="2">
        <v>2932.7</v>
      </c>
      <c r="P95" s="2" t="s">
        <v>68</v>
      </c>
      <c r="Q95" s="2" t="s">
        <v>62</v>
      </c>
    </row>
    <row r="96" spans="1:17" x14ac:dyDescent="0.25">
      <c r="A96" s="2" t="s">
        <v>175</v>
      </c>
      <c r="B96" s="3">
        <v>46255</v>
      </c>
      <c r="C96" s="2" t="s">
        <v>82</v>
      </c>
      <c r="D96" s="2" t="s">
        <v>87</v>
      </c>
      <c r="E96" s="2" t="s">
        <v>55</v>
      </c>
      <c r="F96" s="2" t="s">
        <v>56</v>
      </c>
      <c r="G96" s="2" t="s">
        <v>57</v>
      </c>
      <c r="H96" s="2" t="s">
        <v>58</v>
      </c>
      <c r="I96" s="4">
        <v>2000</v>
      </c>
      <c r="J96" s="4">
        <v>15.68</v>
      </c>
      <c r="K96" s="4">
        <v>31360</v>
      </c>
      <c r="L96" s="2">
        <v>92.3</v>
      </c>
      <c r="M96" s="2" t="s">
        <v>37</v>
      </c>
      <c r="N96" s="2">
        <v>17</v>
      </c>
      <c r="O96" s="2">
        <v>2911</v>
      </c>
      <c r="P96" s="2" t="s">
        <v>61</v>
      </c>
      <c r="Q96" s="2" t="s">
        <v>108</v>
      </c>
    </row>
    <row r="97" spans="1:17" x14ac:dyDescent="0.25">
      <c r="A97" s="2" t="s">
        <v>176</v>
      </c>
      <c r="B97" s="3">
        <v>46066</v>
      </c>
      <c r="C97" s="2" t="s">
        <v>47</v>
      </c>
      <c r="D97" s="2" t="s">
        <v>87</v>
      </c>
      <c r="E97" s="2" t="s">
        <v>20</v>
      </c>
      <c r="F97" s="2" t="s">
        <v>21</v>
      </c>
      <c r="G97" s="2" t="s">
        <v>22</v>
      </c>
      <c r="H97" s="2" t="s">
        <v>58</v>
      </c>
      <c r="I97" s="4">
        <v>2000</v>
      </c>
      <c r="J97" s="4">
        <v>23.95</v>
      </c>
      <c r="K97" s="4">
        <v>47900</v>
      </c>
      <c r="L97" s="2">
        <v>90</v>
      </c>
      <c r="M97" s="2" t="s">
        <v>24</v>
      </c>
      <c r="N97" s="2">
        <v>29</v>
      </c>
      <c r="O97" s="2">
        <v>2874</v>
      </c>
      <c r="P97" s="2" t="s">
        <v>61</v>
      </c>
      <c r="Q97" s="2" t="s">
        <v>45</v>
      </c>
    </row>
    <row r="98" spans="1:17" x14ac:dyDescent="0.25">
      <c r="A98" s="2" t="s">
        <v>177</v>
      </c>
      <c r="B98" s="3">
        <v>46049</v>
      </c>
      <c r="C98" s="2" t="s">
        <v>33</v>
      </c>
      <c r="D98" s="2" t="s">
        <v>19</v>
      </c>
      <c r="E98" s="2" t="s">
        <v>88</v>
      </c>
      <c r="F98" s="2" t="s">
        <v>89</v>
      </c>
      <c r="G98" s="2" t="s">
        <v>90</v>
      </c>
      <c r="H98" s="2" t="s">
        <v>52</v>
      </c>
      <c r="I98" s="4">
        <v>750</v>
      </c>
      <c r="J98" s="4">
        <v>18.93</v>
      </c>
      <c r="K98" s="4">
        <v>14197.5</v>
      </c>
      <c r="L98" s="2">
        <v>82.6</v>
      </c>
      <c r="M98" s="2" t="s">
        <v>30</v>
      </c>
      <c r="N98" s="2">
        <v>22</v>
      </c>
      <c r="O98" s="2">
        <v>1224</v>
      </c>
      <c r="P98" s="2" t="s">
        <v>31</v>
      </c>
      <c r="Q98" s="2" t="s">
        <v>38</v>
      </c>
    </row>
    <row r="99" spans="1:17" x14ac:dyDescent="0.25">
      <c r="A99" s="2" t="s">
        <v>178</v>
      </c>
      <c r="B99" s="3">
        <v>46081</v>
      </c>
      <c r="C99" s="2" t="s">
        <v>33</v>
      </c>
      <c r="D99" s="2" t="s">
        <v>48</v>
      </c>
      <c r="E99" s="2" t="s">
        <v>55</v>
      </c>
      <c r="F99" s="2" t="s">
        <v>56</v>
      </c>
      <c r="G99" s="2" t="s">
        <v>57</v>
      </c>
      <c r="H99" s="2" t="s">
        <v>78</v>
      </c>
      <c r="I99" s="4">
        <v>500</v>
      </c>
      <c r="J99" s="4">
        <v>19.59</v>
      </c>
      <c r="K99" s="4">
        <v>9795</v>
      </c>
      <c r="L99" s="2">
        <v>92.1</v>
      </c>
      <c r="M99" s="2" t="s">
        <v>37</v>
      </c>
      <c r="N99" s="2">
        <v>9</v>
      </c>
      <c r="O99" s="2">
        <v>449.2</v>
      </c>
      <c r="P99" s="2" t="s">
        <v>31</v>
      </c>
      <c r="Q99" s="2" t="s">
        <v>45</v>
      </c>
    </row>
    <row r="100" spans="1:17" x14ac:dyDescent="0.25">
      <c r="A100" s="2" t="s">
        <v>179</v>
      </c>
      <c r="B100" s="3">
        <v>46026</v>
      </c>
      <c r="C100" s="2" t="s">
        <v>27</v>
      </c>
      <c r="D100" s="2" t="s">
        <v>64</v>
      </c>
      <c r="E100" s="2" t="s">
        <v>55</v>
      </c>
      <c r="F100" s="2" t="s">
        <v>56</v>
      </c>
      <c r="G100" s="2" t="s">
        <v>57</v>
      </c>
      <c r="H100" s="2" t="s">
        <v>29</v>
      </c>
      <c r="I100" s="4">
        <v>2500</v>
      </c>
      <c r="J100" s="4">
        <v>8</v>
      </c>
      <c r="K100" s="4">
        <v>20000</v>
      </c>
      <c r="L100" s="2">
        <v>93.9</v>
      </c>
      <c r="M100" s="2" t="s">
        <v>37</v>
      </c>
      <c r="N100" s="2">
        <v>13</v>
      </c>
      <c r="O100" s="2">
        <v>3801.8</v>
      </c>
      <c r="P100" s="2" t="s">
        <v>68</v>
      </c>
      <c r="Q100" s="2" t="s">
        <v>62</v>
      </c>
    </row>
    <row r="101" spans="1:17" x14ac:dyDescent="0.25">
      <c r="A101" s="2" t="s">
        <v>180</v>
      </c>
      <c r="B101" s="3">
        <v>46255</v>
      </c>
      <c r="C101" s="2" t="s">
        <v>33</v>
      </c>
      <c r="D101" s="2" t="s">
        <v>64</v>
      </c>
      <c r="E101" s="2" t="s">
        <v>88</v>
      </c>
      <c r="F101" s="2" t="s">
        <v>89</v>
      </c>
      <c r="G101" s="2" t="s">
        <v>90</v>
      </c>
      <c r="H101" s="2" t="s">
        <v>52</v>
      </c>
      <c r="I101" s="4">
        <v>1500</v>
      </c>
      <c r="J101" s="4">
        <v>22.01</v>
      </c>
      <c r="K101" s="4">
        <v>33015</v>
      </c>
      <c r="L101" s="2">
        <v>94.7</v>
      </c>
      <c r="M101" s="2" t="s">
        <v>24</v>
      </c>
      <c r="N101" s="2">
        <v>13</v>
      </c>
      <c r="O101" s="2">
        <v>2507.5</v>
      </c>
      <c r="P101" s="2" t="s">
        <v>68</v>
      </c>
      <c r="Q101" s="2" t="s">
        <v>53</v>
      </c>
    </row>
    <row r="102" spans="1:17" x14ac:dyDescent="0.25">
      <c r="A102" s="2" t="s">
        <v>181</v>
      </c>
      <c r="B102" s="3">
        <v>46064</v>
      </c>
      <c r="C102" s="2" t="s">
        <v>33</v>
      </c>
      <c r="D102" s="2" t="s">
        <v>40</v>
      </c>
      <c r="E102" s="2" t="s">
        <v>104</v>
      </c>
      <c r="F102" s="2" t="s">
        <v>95</v>
      </c>
      <c r="G102" s="2" t="s">
        <v>96</v>
      </c>
      <c r="H102" s="2" t="s">
        <v>78</v>
      </c>
      <c r="I102" s="4">
        <v>3000</v>
      </c>
      <c r="J102" s="4">
        <v>19.55</v>
      </c>
      <c r="K102" s="4">
        <v>58650</v>
      </c>
      <c r="L102" s="2">
        <v>86.9</v>
      </c>
      <c r="M102" s="2" t="s">
        <v>85</v>
      </c>
      <c r="N102" s="2">
        <v>40</v>
      </c>
      <c r="O102" s="2">
        <v>2475.6</v>
      </c>
      <c r="P102" s="2" t="s">
        <v>61</v>
      </c>
      <c r="Q102" s="2"/>
    </row>
    <row r="103" spans="1:17" x14ac:dyDescent="0.25">
      <c r="A103" s="2" t="s">
        <v>182</v>
      </c>
      <c r="B103" s="3">
        <v>46272</v>
      </c>
      <c r="C103" s="2" t="s">
        <v>84</v>
      </c>
      <c r="D103" s="2" t="s">
        <v>19</v>
      </c>
      <c r="E103" s="2" t="s">
        <v>41</v>
      </c>
      <c r="F103" s="2" t="s">
        <v>42</v>
      </c>
      <c r="G103" s="2" t="s">
        <v>43</v>
      </c>
      <c r="H103" s="2" t="s">
        <v>58</v>
      </c>
      <c r="I103" s="4">
        <v>1250</v>
      </c>
      <c r="J103" s="4">
        <v>15</v>
      </c>
      <c r="K103" s="4">
        <v>18750</v>
      </c>
      <c r="L103" s="2">
        <v>90.9</v>
      </c>
      <c r="M103" s="2" t="s">
        <v>37</v>
      </c>
      <c r="N103" s="2">
        <v>21</v>
      </c>
      <c r="O103" s="2">
        <v>1289.5</v>
      </c>
      <c r="P103" s="2" t="s">
        <v>68</v>
      </c>
      <c r="Q103" s="2" t="s">
        <v>53</v>
      </c>
    </row>
    <row r="104" spans="1:17" x14ac:dyDescent="0.25">
      <c r="A104" s="2" t="s">
        <v>183</v>
      </c>
      <c r="B104" s="3">
        <v>46171</v>
      </c>
      <c r="C104" s="2" t="s">
        <v>33</v>
      </c>
      <c r="D104" s="2" t="s">
        <v>70</v>
      </c>
      <c r="E104" s="2" t="s">
        <v>41</v>
      </c>
      <c r="F104" s="2" t="s">
        <v>42</v>
      </c>
      <c r="G104" s="2" t="s">
        <v>43</v>
      </c>
      <c r="H104" s="2" t="s">
        <v>58</v>
      </c>
      <c r="I104" s="4">
        <v>3000</v>
      </c>
      <c r="J104" s="4">
        <v>22.56</v>
      </c>
      <c r="K104" s="4">
        <v>67680</v>
      </c>
      <c r="L104" s="2">
        <v>81.8</v>
      </c>
      <c r="M104" s="2" t="s">
        <v>30</v>
      </c>
      <c r="N104" s="2">
        <v>42</v>
      </c>
      <c r="O104" s="2">
        <v>4422.1000000000004</v>
      </c>
      <c r="P104" s="2" t="s">
        <v>44</v>
      </c>
      <c r="Q104" s="2" t="s">
        <v>38</v>
      </c>
    </row>
    <row r="105" spans="1:17" x14ac:dyDescent="0.25">
      <c r="A105" s="2" t="s">
        <v>184</v>
      </c>
      <c r="B105" s="3">
        <v>46059</v>
      </c>
      <c r="C105" s="2" t="s">
        <v>82</v>
      </c>
      <c r="D105" s="2" t="s">
        <v>28</v>
      </c>
      <c r="E105" s="2" t="s">
        <v>55</v>
      </c>
      <c r="F105" s="2" t="s">
        <v>56</v>
      </c>
      <c r="G105" s="2" t="s">
        <v>57</v>
      </c>
      <c r="H105" s="2" t="s">
        <v>78</v>
      </c>
      <c r="I105" s="4">
        <v>500</v>
      </c>
      <c r="J105" s="4">
        <v>16.38</v>
      </c>
      <c r="K105" s="4">
        <v>8190</v>
      </c>
      <c r="L105" s="2">
        <v>79.7</v>
      </c>
      <c r="M105" s="2" t="s">
        <v>37</v>
      </c>
      <c r="N105" s="2">
        <v>35</v>
      </c>
      <c r="O105" s="2">
        <v>665.4</v>
      </c>
      <c r="P105" s="2" t="s">
        <v>61</v>
      </c>
      <c r="Q105" s="2" t="s">
        <v>45</v>
      </c>
    </row>
    <row r="106" spans="1:17" x14ac:dyDescent="0.25">
      <c r="A106" s="2" t="s">
        <v>185</v>
      </c>
      <c r="B106" s="3">
        <v>46230</v>
      </c>
      <c r="C106" s="2" t="s">
        <v>47</v>
      </c>
      <c r="D106" s="2" t="s">
        <v>74</v>
      </c>
      <c r="E106" s="2" t="s">
        <v>20</v>
      </c>
      <c r="F106" s="2" t="s">
        <v>21</v>
      </c>
      <c r="G106" s="2" t="s">
        <v>22</v>
      </c>
      <c r="H106" s="2" t="s">
        <v>23</v>
      </c>
      <c r="I106" s="4">
        <v>3000</v>
      </c>
      <c r="J106" s="4">
        <v>24.39</v>
      </c>
      <c r="K106" s="4">
        <v>73170</v>
      </c>
      <c r="L106" s="2">
        <v>97.8</v>
      </c>
      <c r="M106" s="2" t="s">
        <v>37</v>
      </c>
      <c r="N106" s="2">
        <v>35</v>
      </c>
      <c r="O106" s="2">
        <v>4886.8</v>
      </c>
      <c r="P106" s="2" t="s">
        <v>68</v>
      </c>
      <c r="Q106" s="2" t="s">
        <v>62</v>
      </c>
    </row>
    <row r="107" spans="1:17" x14ac:dyDescent="0.25">
      <c r="A107" s="2" t="s">
        <v>186</v>
      </c>
      <c r="B107" s="3">
        <v>46291</v>
      </c>
      <c r="C107" s="2" t="s">
        <v>47</v>
      </c>
      <c r="D107" s="2" t="s">
        <v>87</v>
      </c>
      <c r="E107" s="2" t="s">
        <v>88</v>
      </c>
      <c r="F107" s="2" t="s">
        <v>89</v>
      </c>
      <c r="G107" s="2" t="s">
        <v>90</v>
      </c>
      <c r="H107" s="2" t="s">
        <v>52</v>
      </c>
      <c r="I107" s="4">
        <v>2000</v>
      </c>
      <c r="J107" s="4">
        <v>11.26</v>
      </c>
      <c r="K107" s="4">
        <v>22520</v>
      </c>
      <c r="L107" s="2">
        <v>94.8</v>
      </c>
      <c r="M107" s="2" t="s">
        <v>37</v>
      </c>
      <c r="N107" s="2">
        <v>40</v>
      </c>
      <c r="O107" s="2">
        <v>2793.1</v>
      </c>
      <c r="P107" s="2" t="s">
        <v>44</v>
      </c>
      <c r="Q107" s="2" t="s">
        <v>38</v>
      </c>
    </row>
    <row r="108" spans="1:17" x14ac:dyDescent="0.25">
      <c r="A108" s="2" t="s">
        <v>187</v>
      </c>
      <c r="B108" s="3">
        <v>46201</v>
      </c>
      <c r="C108" s="2" t="s">
        <v>33</v>
      </c>
      <c r="D108" s="2" t="s">
        <v>64</v>
      </c>
      <c r="E108" s="2" t="s">
        <v>49</v>
      </c>
      <c r="F108" s="2" t="s">
        <v>50</v>
      </c>
      <c r="G108" s="2" t="s">
        <v>51</v>
      </c>
      <c r="H108" s="2" t="s">
        <v>23</v>
      </c>
      <c r="I108" s="4">
        <v>750</v>
      </c>
      <c r="J108" s="4">
        <v>9.65</v>
      </c>
      <c r="K108" s="4">
        <v>7237.5</v>
      </c>
      <c r="L108" s="2">
        <v>82.2</v>
      </c>
      <c r="M108" s="2" t="s">
        <v>24</v>
      </c>
      <c r="N108" s="2">
        <v>17</v>
      </c>
      <c r="O108" s="2">
        <v>1152.2</v>
      </c>
      <c r="P108" s="2" t="s">
        <v>25</v>
      </c>
      <c r="Q108" s="2" t="s">
        <v>53</v>
      </c>
    </row>
    <row r="109" spans="1:17" x14ac:dyDescent="0.25">
      <c r="A109" s="2" t="s">
        <v>188</v>
      </c>
      <c r="B109" s="3">
        <v>46260</v>
      </c>
      <c r="C109" s="2" t="s">
        <v>84</v>
      </c>
      <c r="D109" s="2" t="s">
        <v>40</v>
      </c>
      <c r="E109" s="2" t="s">
        <v>65</v>
      </c>
      <c r="F109" s="2" t="s">
        <v>66</v>
      </c>
      <c r="G109" s="2" t="s">
        <v>67</v>
      </c>
      <c r="H109" s="2" t="s">
        <v>29</v>
      </c>
      <c r="I109" s="4">
        <v>2000</v>
      </c>
      <c r="J109" s="4">
        <v>25.08</v>
      </c>
      <c r="K109" s="4">
        <v>50160</v>
      </c>
      <c r="L109" s="2">
        <v>91.5</v>
      </c>
      <c r="M109" s="2" t="s">
        <v>37</v>
      </c>
      <c r="N109" s="2">
        <v>36</v>
      </c>
      <c r="O109" s="2">
        <v>1550.2</v>
      </c>
      <c r="P109" s="2" t="s">
        <v>61</v>
      </c>
      <c r="Q109" s="2"/>
    </row>
    <row r="110" spans="1:17" x14ac:dyDescent="0.25">
      <c r="A110" s="2" t="s">
        <v>189</v>
      </c>
      <c r="B110" s="3">
        <v>46163</v>
      </c>
      <c r="C110" s="2" t="s">
        <v>84</v>
      </c>
      <c r="D110" s="2" t="s">
        <v>28</v>
      </c>
      <c r="E110" s="2" t="s">
        <v>41</v>
      </c>
      <c r="F110" s="2" t="s">
        <v>42</v>
      </c>
      <c r="G110" s="2" t="s">
        <v>43</v>
      </c>
      <c r="H110" s="2" t="s">
        <v>52</v>
      </c>
      <c r="I110" s="4">
        <v>750</v>
      </c>
      <c r="J110" s="4">
        <v>13.17</v>
      </c>
      <c r="K110" s="4">
        <v>9877.5</v>
      </c>
      <c r="L110" s="2">
        <v>87.7</v>
      </c>
      <c r="M110" s="2" t="s">
        <v>37</v>
      </c>
      <c r="N110" s="2">
        <v>31</v>
      </c>
      <c r="O110" s="2">
        <v>1211.0999999999999</v>
      </c>
      <c r="P110" s="2" t="s">
        <v>25</v>
      </c>
      <c r="Q110" s="2"/>
    </row>
    <row r="111" spans="1:17" x14ac:dyDescent="0.25">
      <c r="A111" s="2" t="s">
        <v>190</v>
      </c>
      <c r="B111" s="3">
        <v>46282</v>
      </c>
      <c r="C111" s="2" t="s">
        <v>82</v>
      </c>
      <c r="D111" s="2" t="s">
        <v>40</v>
      </c>
      <c r="E111" s="2" t="s">
        <v>20</v>
      </c>
      <c r="F111" s="2" t="s">
        <v>21</v>
      </c>
      <c r="G111" s="2" t="s">
        <v>22</v>
      </c>
      <c r="H111" s="2" t="s">
        <v>29</v>
      </c>
      <c r="I111" s="4">
        <v>500</v>
      </c>
      <c r="J111" s="4">
        <v>16.170000000000002</v>
      </c>
      <c r="K111" s="4">
        <v>8085</v>
      </c>
      <c r="L111" s="2">
        <v>95.4</v>
      </c>
      <c r="M111" s="2" t="s">
        <v>37</v>
      </c>
      <c r="N111" s="2">
        <v>28</v>
      </c>
      <c r="O111" s="2">
        <v>682.8</v>
      </c>
      <c r="P111" s="2" t="s">
        <v>44</v>
      </c>
      <c r="Q111" s="2" t="s">
        <v>53</v>
      </c>
    </row>
    <row r="112" spans="1:17" x14ac:dyDescent="0.25">
      <c r="A112" s="2" t="s">
        <v>191</v>
      </c>
      <c r="B112" s="3">
        <v>46253</v>
      </c>
      <c r="C112" s="2" t="s">
        <v>47</v>
      </c>
      <c r="D112" s="2" t="s">
        <v>74</v>
      </c>
      <c r="E112" s="2" t="s">
        <v>104</v>
      </c>
      <c r="F112" s="2" t="s">
        <v>95</v>
      </c>
      <c r="G112" s="2" t="s">
        <v>96</v>
      </c>
      <c r="H112" s="2" t="s">
        <v>58</v>
      </c>
      <c r="I112" s="4">
        <v>1000</v>
      </c>
      <c r="J112" s="4">
        <v>7.34</v>
      </c>
      <c r="K112" s="4">
        <v>7340</v>
      </c>
      <c r="L112" s="2">
        <v>93.2</v>
      </c>
      <c r="M112" s="2" t="s">
        <v>30</v>
      </c>
      <c r="N112" s="2">
        <v>41</v>
      </c>
      <c r="O112" s="2">
        <v>1275</v>
      </c>
      <c r="P112" s="2" t="s">
        <v>68</v>
      </c>
      <c r="Q112" s="2" t="s">
        <v>45</v>
      </c>
    </row>
    <row r="113" spans="1:17" x14ac:dyDescent="0.25">
      <c r="A113" s="2" t="s">
        <v>192</v>
      </c>
      <c r="B113" s="3">
        <v>46167</v>
      </c>
      <c r="C113" s="2" t="s">
        <v>82</v>
      </c>
      <c r="D113" s="2" t="s">
        <v>87</v>
      </c>
      <c r="E113" s="2" t="s">
        <v>55</v>
      </c>
      <c r="F113" s="2" t="s">
        <v>56</v>
      </c>
      <c r="G113" s="2" t="s">
        <v>57</v>
      </c>
      <c r="H113" s="2" t="s">
        <v>52</v>
      </c>
      <c r="I113" s="4">
        <v>500</v>
      </c>
      <c r="J113" s="4">
        <v>23.47</v>
      </c>
      <c r="K113" s="4">
        <v>11735</v>
      </c>
      <c r="L113" s="2">
        <v>91.9</v>
      </c>
      <c r="M113" s="2" t="s">
        <v>37</v>
      </c>
      <c r="N113" s="2">
        <v>29</v>
      </c>
      <c r="O113" s="2">
        <v>402</v>
      </c>
      <c r="P113" s="2" t="s">
        <v>61</v>
      </c>
      <c r="Q113" s="2" t="s">
        <v>45</v>
      </c>
    </row>
    <row r="114" spans="1:17" x14ac:dyDescent="0.25">
      <c r="A114" s="2" t="s">
        <v>193</v>
      </c>
      <c r="B114" s="3">
        <v>46099</v>
      </c>
      <c r="C114" s="2" t="s">
        <v>33</v>
      </c>
      <c r="D114" s="2" t="s">
        <v>70</v>
      </c>
      <c r="E114" s="2" t="s">
        <v>41</v>
      </c>
      <c r="F114" s="2" t="s">
        <v>42</v>
      </c>
      <c r="G114" s="2" t="s">
        <v>43</v>
      </c>
      <c r="H114" s="2" t="s">
        <v>29</v>
      </c>
      <c r="I114" s="4">
        <v>1000</v>
      </c>
      <c r="J114" s="4">
        <v>26.21</v>
      </c>
      <c r="K114" s="4">
        <v>26210</v>
      </c>
      <c r="L114" s="2">
        <v>84.7</v>
      </c>
      <c r="M114" s="2" t="s">
        <v>30</v>
      </c>
      <c r="N114" s="2">
        <v>16</v>
      </c>
      <c r="O114" s="2">
        <v>1354.5</v>
      </c>
      <c r="P114" s="2" t="s">
        <v>25</v>
      </c>
      <c r="Q114" s="2" t="s">
        <v>45</v>
      </c>
    </row>
    <row r="115" spans="1:17" x14ac:dyDescent="0.25">
      <c r="A115" s="2" t="s">
        <v>194</v>
      </c>
      <c r="B115" s="3">
        <v>46191</v>
      </c>
      <c r="C115" s="2" t="s">
        <v>27</v>
      </c>
      <c r="D115" s="2" t="s">
        <v>70</v>
      </c>
      <c r="E115" s="2" t="s">
        <v>88</v>
      </c>
      <c r="F115" s="2" t="s">
        <v>89</v>
      </c>
      <c r="G115" s="2" t="s">
        <v>90</v>
      </c>
      <c r="H115" s="2" t="s">
        <v>78</v>
      </c>
      <c r="I115" s="4">
        <v>2000</v>
      </c>
      <c r="J115" s="4">
        <v>6.89</v>
      </c>
      <c r="K115" s="4">
        <v>13780</v>
      </c>
      <c r="L115" s="2">
        <v>84.6</v>
      </c>
      <c r="M115" s="2" t="s">
        <v>37</v>
      </c>
      <c r="N115" s="2">
        <v>29</v>
      </c>
      <c r="O115" s="2">
        <v>3484.9</v>
      </c>
      <c r="P115" s="2" t="s">
        <v>61</v>
      </c>
      <c r="Q115" s="2" t="s">
        <v>53</v>
      </c>
    </row>
    <row r="116" spans="1:17" x14ac:dyDescent="0.25">
      <c r="A116" s="2" t="s">
        <v>195</v>
      </c>
      <c r="B116" s="3">
        <v>46093</v>
      </c>
      <c r="C116" s="2" t="s">
        <v>27</v>
      </c>
      <c r="D116" s="2" t="s">
        <v>70</v>
      </c>
      <c r="E116" s="2" t="s">
        <v>49</v>
      </c>
      <c r="F116" s="2" t="s">
        <v>50</v>
      </c>
      <c r="G116" s="2" t="s">
        <v>51</v>
      </c>
      <c r="H116" s="2" t="s">
        <v>52</v>
      </c>
      <c r="I116" s="4">
        <v>750</v>
      </c>
      <c r="J116" s="4">
        <v>17.420000000000002</v>
      </c>
      <c r="K116" s="4">
        <v>13065</v>
      </c>
      <c r="L116" s="2">
        <v>89.6</v>
      </c>
      <c r="M116" s="2" t="s">
        <v>24</v>
      </c>
      <c r="N116" s="2">
        <v>10</v>
      </c>
      <c r="O116" s="2">
        <v>1071.0999999999999</v>
      </c>
      <c r="P116" s="2" t="s">
        <v>44</v>
      </c>
      <c r="Q116" s="2" t="s">
        <v>53</v>
      </c>
    </row>
    <row r="117" spans="1:17" x14ac:dyDescent="0.25">
      <c r="A117" s="2" t="s">
        <v>196</v>
      </c>
      <c r="B117" s="3">
        <v>46101</v>
      </c>
      <c r="C117" s="2" t="s">
        <v>27</v>
      </c>
      <c r="D117" s="2" t="s">
        <v>64</v>
      </c>
      <c r="E117" s="2" t="s">
        <v>88</v>
      </c>
      <c r="F117" s="2" t="s">
        <v>89</v>
      </c>
      <c r="G117" s="2" t="s">
        <v>90</v>
      </c>
      <c r="H117" s="2" t="s">
        <v>29</v>
      </c>
      <c r="I117" s="4">
        <v>1000</v>
      </c>
      <c r="J117" s="4">
        <v>22.01</v>
      </c>
      <c r="K117" s="4">
        <v>22010</v>
      </c>
      <c r="L117" s="2">
        <v>78.900000000000006</v>
      </c>
      <c r="M117" s="2" t="s">
        <v>37</v>
      </c>
      <c r="N117" s="2">
        <v>23</v>
      </c>
      <c r="O117" s="2">
        <v>1766.5</v>
      </c>
      <c r="P117" s="2" t="s">
        <v>44</v>
      </c>
      <c r="Q117" s="2" t="s">
        <v>45</v>
      </c>
    </row>
    <row r="118" spans="1:17" x14ac:dyDescent="0.25">
      <c r="A118" s="2" t="s">
        <v>197</v>
      </c>
      <c r="B118" s="3">
        <v>46142</v>
      </c>
      <c r="C118" s="2" t="s">
        <v>84</v>
      </c>
      <c r="D118" s="2" t="s">
        <v>48</v>
      </c>
      <c r="E118" s="2" t="s">
        <v>65</v>
      </c>
      <c r="F118" s="2" t="s">
        <v>66</v>
      </c>
      <c r="G118" s="2" t="s">
        <v>67</v>
      </c>
      <c r="H118" s="2" t="s">
        <v>52</v>
      </c>
      <c r="I118" s="4">
        <v>3000</v>
      </c>
      <c r="J118" s="4">
        <v>25.94</v>
      </c>
      <c r="K118" s="4">
        <v>77820</v>
      </c>
      <c r="L118" s="2">
        <v>82.2</v>
      </c>
      <c r="M118" s="2" t="s">
        <v>24</v>
      </c>
      <c r="N118" s="2">
        <v>36</v>
      </c>
      <c r="O118" s="2">
        <v>3623.5</v>
      </c>
      <c r="P118" s="2" t="s">
        <v>31</v>
      </c>
      <c r="Q118" s="2" t="s">
        <v>62</v>
      </c>
    </row>
    <row r="119" spans="1:17" x14ac:dyDescent="0.25">
      <c r="A119" s="2" t="s">
        <v>198</v>
      </c>
      <c r="B119" s="3">
        <v>46105</v>
      </c>
      <c r="C119" s="2" t="s">
        <v>27</v>
      </c>
      <c r="D119" s="2" t="s">
        <v>64</v>
      </c>
      <c r="E119" s="2" t="s">
        <v>88</v>
      </c>
      <c r="F119" s="2" t="s">
        <v>89</v>
      </c>
      <c r="G119" s="2" t="s">
        <v>90</v>
      </c>
      <c r="H119" s="2" t="s">
        <v>52</v>
      </c>
      <c r="I119" s="4">
        <v>500</v>
      </c>
      <c r="J119" s="4">
        <v>20.29</v>
      </c>
      <c r="K119" s="4">
        <v>10145</v>
      </c>
      <c r="L119" s="2">
        <v>96.8</v>
      </c>
      <c r="M119" s="2" t="s">
        <v>24</v>
      </c>
      <c r="N119" s="2">
        <v>14</v>
      </c>
      <c r="O119" s="2">
        <v>741.3</v>
      </c>
      <c r="P119" s="2" t="s">
        <v>44</v>
      </c>
      <c r="Q119" s="2"/>
    </row>
    <row r="120" spans="1:17" x14ac:dyDescent="0.25">
      <c r="A120" s="2" t="s">
        <v>199</v>
      </c>
      <c r="B120" s="3">
        <v>46065</v>
      </c>
      <c r="C120" s="2" t="s">
        <v>27</v>
      </c>
      <c r="D120" s="2" t="s">
        <v>19</v>
      </c>
      <c r="E120" s="2" t="s">
        <v>41</v>
      </c>
      <c r="F120" s="2" t="s">
        <v>42</v>
      </c>
      <c r="G120" s="2" t="s">
        <v>43</v>
      </c>
      <c r="H120" s="2" t="s">
        <v>78</v>
      </c>
      <c r="I120" s="4">
        <v>1000</v>
      </c>
      <c r="J120" s="4">
        <v>24.37</v>
      </c>
      <c r="K120" s="4">
        <v>24370</v>
      </c>
      <c r="L120" s="2">
        <v>80</v>
      </c>
      <c r="M120" s="2" t="s">
        <v>37</v>
      </c>
      <c r="N120" s="2">
        <v>36</v>
      </c>
      <c r="O120" s="2">
        <v>1673.1</v>
      </c>
      <c r="P120" s="2" t="s">
        <v>25</v>
      </c>
      <c r="Q120" s="2" t="s">
        <v>62</v>
      </c>
    </row>
    <row r="121" spans="1:17" x14ac:dyDescent="0.25">
      <c r="A121" s="2" t="s">
        <v>200</v>
      </c>
      <c r="B121" s="3">
        <v>46225</v>
      </c>
      <c r="C121" s="2" t="s">
        <v>84</v>
      </c>
      <c r="D121" s="2" t="s">
        <v>74</v>
      </c>
      <c r="E121" s="2" t="s">
        <v>104</v>
      </c>
      <c r="F121" s="2" t="s">
        <v>95</v>
      </c>
      <c r="G121" s="2" t="s">
        <v>96</v>
      </c>
      <c r="H121" s="2" t="s">
        <v>23</v>
      </c>
      <c r="I121" s="4">
        <v>2500</v>
      </c>
      <c r="J121" s="4">
        <v>27.88</v>
      </c>
      <c r="K121" s="4">
        <v>69700</v>
      </c>
      <c r="L121" s="2">
        <v>86.1</v>
      </c>
      <c r="M121" s="2" t="s">
        <v>37</v>
      </c>
      <c r="N121" s="2">
        <v>28</v>
      </c>
      <c r="O121" s="2">
        <v>4309.8</v>
      </c>
      <c r="P121" s="2" t="s">
        <v>31</v>
      </c>
      <c r="Q121" s="2" t="s">
        <v>53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4A7E2-0199-4A79-93CA-B9F3B6FD3FE2}">
  <dimension ref="A1:L48"/>
  <sheetViews>
    <sheetView showGridLines="0" workbookViewId="0">
      <selection activeCell="O10" sqref="O10"/>
    </sheetView>
  </sheetViews>
  <sheetFormatPr defaultRowHeight="18" customHeight="1" x14ac:dyDescent="0.25"/>
  <cols>
    <col min="1" max="12" width="13.7109375" customWidth="1"/>
  </cols>
  <sheetData>
    <row r="1" spans="1:12" ht="33.950000000000003" customHeight="1" x14ac:dyDescent="0.45">
      <c r="A1" s="9" t="s">
        <v>202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1:12" ht="21.95" customHeight="1" x14ac:dyDescent="0.25">
      <c r="A2" s="10" t="s">
        <v>203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ht="18" customHeight="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ht="21" customHeight="1" x14ac:dyDescent="0.25">
      <c r="A4" s="11" t="s">
        <v>204</v>
      </c>
      <c r="B4" s="11"/>
      <c r="C4" s="11" t="s">
        <v>205</v>
      </c>
      <c r="D4" s="11"/>
      <c r="E4" s="11" t="s">
        <v>206</v>
      </c>
      <c r="F4" s="11"/>
      <c r="G4" s="16" t="s">
        <v>207</v>
      </c>
      <c r="H4" s="16"/>
      <c r="I4" s="16" t="s">
        <v>208</v>
      </c>
      <c r="J4" s="16"/>
      <c r="K4" s="16" t="s">
        <v>209</v>
      </c>
      <c r="L4" s="16"/>
    </row>
    <row r="5" spans="1:12" ht="21" customHeight="1" x14ac:dyDescent="0.25">
      <c r="A5" s="12">
        <v>3235672.5</v>
      </c>
      <c r="B5" s="13"/>
      <c r="C5" s="14">
        <v>120</v>
      </c>
      <c r="D5" s="13"/>
      <c r="E5" s="15">
        <v>87.689166666666679</v>
      </c>
      <c r="F5" s="13"/>
      <c r="G5" s="17">
        <v>0.60833333333333328</v>
      </c>
      <c r="H5" s="13"/>
      <c r="I5" s="18">
        <v>25.074999999999999</v>
      </c>
      <c r="J5" s="13"/>
      <c r="K5" s="19">
        <v>1.2800136239782018</v>
      </c>
      <c r="L5" s="13"/>
    </row>
    <row r="6" spans="1:12" ht="21" customHeight="1" x14ac:dyDescent="0.25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</row>
    <row r="7" spans="1:12" ht="18" customHeight="1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ht="33.950000000000003" customHeight="1" x14ac:dyDescent="0.25">
      <c r="A8" s="20" t="s">
        <v>210</v>
      </c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</row>
    <row r="9" spans="1:12" ht="18" customHeight="1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ht="18" customHeight="1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ht="18" customHeight="1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</row>
    <row r="12" spans="1:12" ht="18" customHeight="1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ht="18" customHeight="1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</row>
    <row r="14" spans="1:12" ht="18" customHeight="1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</row>
    <row r="15" spans="1:12" ht="18" customHeight="1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ht="18" customHeight="1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ht="18" customHeight="1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ht="18" customHeight="1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ht="18" customHeight="1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ht="18" customHeight="1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ht="18" customHeight="1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ht="18" customHeight="1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8" customHeight="1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ht="18" customHeight="1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ht="18" customHeight="1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</row>
    <row r="26" spans="1:12" ht="18" customHeight="1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</row>
    <row r="27" spans="1:12" ht="18" customHeight="1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</row>
    <row r="28" spans="1:12" ht="18" customHeight="1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</row>
    <row r="29" spans="1:12" ht="18" customHeight="1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ht="18" customHeight="1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ht="18" customHeight="1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ht="18" customHeight="1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ht="18" customHeight="1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ht="18" customHeight="1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8" customHeight="1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</row>
    <row r="36" spans="1:12" ht="18" customHeight="1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</row>
    <row r="37" spans="1:12" ht="18" customHeight="1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</row>
    <row r="38" spans="1:12" ht="18" customHeight="1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</row>
    <row r="39" spans="1:12" ht="18" customHeight="1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</row>
    <row r="40" spans="1:12" ht="18" customHeight="1" x14ac:dyDescent="0.2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</row>
    <row r="41" spans="1:12" ht="18" customHeight="1" x14ac:dyDescent="0.2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</row>
    <row r="42" spans="1:12" ht="24" customHeight="1" x14ac:dyDescent="0.25">
      <c r="A42" s="8" t="s">
        <v>211</v>
      </c>
      <c r="B42" s="8"/>
      <c r="C42" s="8"/>
      <c r="D42" s="8"/>
      <c r="E42" s="8"/>
      <c r="F42" s="8"/>
      <c r="G42" s="8" t="s">
        <v>213</v>
      </c>
      <c r="H42" s="8"/>
      <c r="I42" s="8"/>
      <c r="J42" s="8"/>
      <c r="K42" s="8"/>
      <c r="L42" s="8"/>
    </row>
    <row r="43" spans="1:12" ht="23.1" customHeight="1" x14ac:dyDescent="0.25">
      <c r="A43" s="21" t="s">
        <v>3</v>
      </c>
      <c r="B43" s="21" t="s">
        <v>10</v>
      </c>
      <c r="C43" s="21" t="s">
        <v>212</v>
      </c>
      <c r="D43" s="7"/>
      <c r="E43" s="7"/>
      <c r="F43" s="7"/>
      <c r="G43" s="25" t="s">
        <v>214</v>
      </c>
      <c r="H43" s="25"/>
      <c r="I43" s="25"/>
      <c r="J43" s="25"/>
      <c r="K43" s="25"/>
      <c r="L43" s="25"/>
    </row>
    <row r="44" spans="1:12" ht="23.1" customHeight="1" x14ac:dyDescent="0.25">
      <c r="A44" s="22" t="s">
        <v>64</v>
      </c>
      <c r="B44" s="23">
        <v>512462.5</v>
      </c>
      <c r="C44" s="24">
        <v>0.15837897685875194</v>
      </c>
      <c r="D44" s="7"/>
      <c r="E44" s="7"/>
      <c r="F44" s="7"/>
      <c r="G44" s="25"/>
      <c r="H44" s="25"/>
      <c r="I44" s="25"/>
      <c r="J44" s="25"/>
      <c r="K44" s="25"/>
      <c r="L44" s="25"/>
    </row>
    <row r="45" spans="1:12" ht="23.1" customHeight="1" x14ac:dyDescent="0.25">
      <c r="A45" s="22" t="s">
        <v>19</v>
      </c>
      <c r="B45" s="23">
        <v>502697.5</v>
      </c>
      <c r="C45" s="24">
        <v>0.15536105709091386</v>
      </c>
      <c r="D45" s="7"/>
      <c r="E45" s="7"/>
      <c r="F45" s="7"/>
      <c r="G45" s="25"/>
      <c r="H45" s="25"/>
      <c r="I45" s="25"/>
      <c r="J45" s="25"/>
      <c r="K45" s="25"/>
      <c r="L45" s="25"/>
    </row>
    <row r="46" spans="1:12" ht="23.1" customHeight="1" x14ac:dyDescent="0.25">
      <c r="A46" s="22" t="s">
        <v>70</v>
      </c>
      <c r="B46" s="23">
        <v>447505</v>
      </c>
      <c r="C46" s="24">
        <v>0.13830355204366326</v>
      </c>
      <c r="D46" s="7"/>
      <c r="E46" s="7"/>
      <c r="F46" s="7"/>
      <c r="G46" s="25"/>
      <c r="H46" s="25"/>
      <c r="I46" s="25"/>
      <c r="J46" s="25"/>
      <c r="K46" s="25"/>
      <c r="L46" s="25"/>
    </row>
    <row r="47" spans="1:12" ht="18" customHeight="1" x14ac:dyDescent="0.25">
      <c r="A47" s="22" t="s">
        <v>48</v>
      </c>
      <c r="B47" s="23">
        <v>422007.5</v>
      </c>
      <c r="C47" s="24">
        <v>0.13042342820541944</v>
      </c>
      <c r="D47" s="7"/>
      <c r="E47" s="7"/>
      <c r="F47" s="7"/>
      <c r="G47" s="7"/>
      <c r="H47" s="7"/>
      <c r="I47" s="7"/>
      <c r="J47" s="7"/>
      <c r="K47" s="7"/>
      <c r="L47" s="7"/>
    </row>
    <row r="48" spans="1:12" ht="18" customHeight="1" x14ac:dyDescent="0.25">
      <c r="A48" s="22" t="s">
        <v>40</v>
      </c>
      <c r="B48" s="23">
        <v>400877.5</v>
      </c>
      <c r="C48" s="24">
        <v>0.12389310104777292</v>
      </c>
      <c r="D48" s="7"/>
      <c r="E48" s="7"/>
      <c r="F48" s="7"/>
      <c r="G48" s="7"/>
      <c r="H48" s="7"/>
      <c r="I48" s="7"/>
      <c r="J48" s="7"/>
      <c r="K48" s="7"/>
      <c r="L48" s="7"/>
    </row>
  </sheetData>
  <mergeCells count="18">
    <mergeCell ref="G43:L46"/>
    <mergeCell ref="I4:J4"/>
    <mergeCell ref="I5:J6"/>
    <mergeCell ref="K4:L4"/>
    <mergeCell ref="K5:L6"/>
    <mergeCell ref="A8:L8"/>
    <mergeCell ref="A42:F42"/>
    <mergeCell ref="G42:L42"/>
    <mergeCell ref="A1:L1"/>
    <mergeCell ref="A2:L2"/>
    <mergeCell ref="A4:B4"/>
    <mergeCell ref="A5:B6"/>
    <mergeCell ref="C4:D4"/>
    <mergeCell ref="C5:D6"/>
    <mergeCell ref="E4:F4"/>
    <mergeCell ref="E5:F6"/>
    <mergeCell ref="G4:H4"/>
    <mergeCell ref="G5:H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8A793-13D1-4475-9587-1C39F3A8AFC2}">
  <dimension ref="A1:L10"/>
  <sheetViews>
    <sheetView workbookViewId="0"/>
  </sheetViews>
  <sheetFormatPr defaultRowHeight="15" x14ac:dyDescent="0.25"/>
  <sheetData>
    <row r="1" spans="1:12" x14ac:dyDescent="0.25">
      <c r="A1" t="s">
        <v>201</v>
      </c>
      <c r="B1" t="s">
        <v>10</v>
      </c>
      <c r="C1" t="s">
        <v>215</v>
      </c>
      <c r="E1" t="s">
        <v>2</v>
      </c>
      <c r="F1" t="s">
        <v>10</v>
      </c>
      <c r="H1" t="s">
        <v>12</v>
      </c>
      <c r="I1" t="s">
        <v>216</v>
      </c>
      <c r="K1" t="s">
        <v>5</v>
      </c>
      <c r="L1" t="s">
        <v>10</v>
      </c>
    </row>
    <row r="2" spans="1:12" x14ac:dyDescent="0.25">
      <c r="A2" s="6">
        <v>46023</v>
      </c>
      <c r="B2" s="5">
        <v>536705</v>
      </c>
      <c r="C2">
        <v>89.085714285714289</v>
      </c>
      <c r="E2" t="s">
        <v>47</v>
      </c>
      <c r="F2" s="5">
        <v>811027.5</v>
      </c>
      <c r="H2" t="s">
        <v>37</v>
      </c>
      <c r="I2">
        <v>73</v>
      </c>
      <c r="K2" t="s">
        <v>42</v>
      </c>
      <c r="L2" s="5">
        <v>626840</v>
      </c>
    </row>
    <row r="3" spans="1:12" x14ac:dyDescent="0.25">
      <c r="A3" s="6">
        <v>46054</v>
      </c>
      <c r="B3" s="5">
        <v>345177.5</v>
      </c>
      <c r="C3">
        <v>87.737500000000011</v>
      </c>
      <c r="E3" t="s">
        <v>27</v>
      </c>
      <c r="F3" s="5">
        <v>567277.5</v>
      </c>
      <c r="H3" t="s">
        <v>24</v>
      </c>
      <c r="I3">
        <v>22</v>
      </c>
      <c r="K3" t="s">
        <v>95</v>
      </c>
      <c r="L3" s="5">
        <v>516945</v>
      </c>
    </row>
    <row r="4" spans="1:12" x14ac:dyDescent="0.25">
      <c r="A4" s="6">
        <v>46082</v>
      </c>
      <c r="B4" s="5">
        <v>306130</v>
      </c>
      <c r="C4">
        <v>82.253846153846169</v>
      </c>
      <c r="E4" t="s">
        <v>33</v>
      </c>
      <c r="F4" s="5">
        <v>531535</v>
      </c>
      <c r="H4" t="s">
        <v>30</v>
      </c>
      <c r="I4">
        <v>22</v>
      </c>
      <c r="K4" t="s">
        <v>56</v>
      </c>
      <c r="L4" s="5">
        <v>474060</v>
      </c>
    </row>
    <row r="5" spans="1:12" x14ac:dyDescent="0.25">
      <c r="A5" s="6">
        <v>46113</v>
      </c>
      <c r="B5" s="5">
        <v>227642.5</v>
      </c>
      <c r="C5">
        <v>85.683333333333337</v>
      </c>
      <c r="E5" t="s">
        <v>82</v>
      </c>
      <c r="F5" s="5">
        <v>508972.5</v>
      </c>
      <c r="H5" t="s">
        <v>85</v>
      </c>
      <c r="I5">
        <v>3</v>
      </c>
      <c r="K5" t="s">
        <v>89</v>
      </c>
      <c r="L5" s="5">
        <v>406015</v>
      </c>
    </row>
    <row r="6" spans="1:12" x14ac:dyDescent="0.25">
      <c r="A6" s="6">
        <v>46143</v>
      </c>
      <c r="B6" s="5">
        <v>486600</v>
      </c>
      <c r="C6">
        <v>83.835714285714275</v>
      </c>
      <c r="E6" t="s">
        <v>84</v>
      </c>
      <c r="F6" s="5">
        <v>418350</v>
      </c>
      <c r="K6" t="s">
        <v>66</v>
      </c>
      <c r="L6" s="5">
        <v>377685</v>
      </c>
    </row>
    <row r="7" spans="1:12" x14ac:dyDescent="0.25">
      <c r="A7" s="6">
        <v>46174</v>
      </c>
      <c r="B7" s="5">
        <v>139867.5</v>
      </c>
      <c r="C7">
        <v>88.45</v>
      </c>
      <c r="E7" t="s">
        <v>18</v>
      </c>
      <c r="F7" s="5">
        <v>300085</v>
      </c>
      <c r="K7" t="s">
        <v>35</v>
      </c>
      <c r="L7" s="5">
        <v>339230</v>
      </c>
    </row>
    <row r="8" spans="1:12" x14ac:dyDescent="0.25">
      <c r="A8" s="6">
        <v>46204</v>
      </c>
      <c r="B8" s="5">
        <v>514760</v>
      </c>
      <c r="C8">
        <v>89.330769230769249</v>
      </c>
      <c r="E8" t="s">
        <v>156</v>
      </c>
      <c r="F8" s="5">
        <v>49550</v>
      </c>
      <c r="K8" t="s">
        <v>21</v>
      </c>
      <c r="L8" s="5">
        <v>318512.5</v>
      </c>
    </row>
    <row r="9" spans="1:12" x14ac:dyDescent="0.25">
      <c r="A9" s="6">
        <v>46235</v>
      </c>
      <c r="B9" s="5">
        <v>405595</v>
      </c>
      <c r="C9">
        <v>90.282352941176484</v>
      </c>
      <c r="E9" t="s">
        <v>124</v>
      </c>
      <c r="F9" s="5">
        <v>36675</v>
      </c>
      <c r="K9" t="s">
        <v>50</v>
      </c>
      <c r="L9" s="5">
        <v>176385</v>
      </c>
    </row>
    <row r="10" spans="1:12" x14ac:dyDescent="0.25">
      <c r="A10" s="6">
        <v>46266</v>
      </c>
      <c r="B10" s="5">
        <v>273195</v>
      </c>
      <c r="C10">
        <v>90.608333333333334</v>
      </c>
      <c r="E10" t="s">
        <v>76</v>
      </c>
      <c r="F10" s="5">
        <v>12200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ba5c36-b7cf-4793-bbc2-bd5b3a9f95ca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Raw_Data</vt:lpstr>
      <vt:lpstr>Dashboard</vt:lpstr>
      <vt:lpstr>Chart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Ning Wei</dc:creator>
  <cp:keywords/>
  <dc:description/>
  <cp:lastModifiedBy>Ning Wei</cp:lastModifiedBy>
  <cp:revision/>
  <dcterms:created xsi:type="dcterms:W3CDTF">2026-10-16T14:55:15Z</dcterms:created>
  <dcterms:modified xsi:type="dcterms:W3CDTF">2026-10-20T08:49:36Z</dcterms:modified>
  <cp:category/>
  <cp:contentStatus/>
</cp:coreProperties>
</file>