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https://microsoftapc-my.sharepoint.com/personal/wening_microsoft_com/Documents/MS/ATT/Delivery/MS-4018-20261022/Lubrizol/Lubrizol/data/"/>
    </mc:Choice>
  </mc:AlternateContent>
  <xr:revisionPtr revIDLastSave="1718" documentId="11_F6A0CF73943780527D48984FAF52B03BFF5B4E2D" xr6:coauthVersionLast="47" xr6:coauthVersionMax="47" xr10:uidLastSave="{117BCC4E-6A2C-426E-96E8-E4AD93A532DE}"/>
  <bookViews>
    <workbookView xWindow="-120" yWindow="-120" windowWidth="29040" windowHeight="15720" xr2:uid="{00000000-000D-0000-FFFF-FFFF00000000}"/>
  </bookViews>
  <sheets>
    <sheet name="Raw_Data" sheetId="1" r:id="rId1"/>
    <sheet name="Data Quality Audit" sheetId="7" r:id="rId2"/>
    <sheet name="Chart Data" sheetId="6" state="hidden" r:id="rId3"/>
    <sheet name="Lubrizol Financials" sheetId="15" r:id="rId4"/>
    <sheet name="Dashboard" sheetId="5" r:id="rId5"/>
    <sheet name="Pivot Dashboard" sheetId="19" r:id="rId6"/>
    <sheet name="3-Month Forecast" sheetId="20" r:id="rId7"/>
  </sheets>
  <definedNames>
    <definedName name="_xlnm._FilterDatabase" localSheetId="0" hidden="1">Raw_Data!$A$1:$Q$121</definedName>
    <definedName name="Slicer_Business_Segment">#N/A</definedName>
    <definedName name="Slicer_Delivery_Status">#N/A</definedName>
    <definedName name="Slicer_Plant">#N/A</definedName>
    <definedName name="Slicer_Region">#N/A</definedName>
  </definedNames>
  <calcPr calcId="191029"/>
  <pivotCaches>
    <pivotCache cacheId="2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20" l="1"/>
  <c r="D12" i="20"/>
  <c r="D11" i="20"/>
  <c r="C13" i="20"/>
  <c r="C12" i="20"/>
  <c r="C11" i="20"/>
  <c r="B13" i="20"/>
  <c r="B12" i="20"/>
  <c r="B11" i="20"/>
  <c r="C29" i="20"/>
  <c r="C28" i="20"/>
  <c r="C27" i="20"/>
  <c r="C26" i="20"/>
  <c r="B29" i="20"/>
  <c r="B28" i="20"/>
  <c r="B27" i="20"/>
  <c r="B26" i="20"/>
  <c r="C25" i="20"/>
  <c r="C24" i="20"/>
  <c r="C23" i="20"/>
  <c r="C22" i="20"/>
  <c r="C21" i="20"/>
  <c r="C20" i="20"/>
  <c r="C19" i="20"/>
  <c r="C18" i="20"/>
  <c r="C17" i="20"/>
  <c r="B25" i="20"/>
  <c r="B24" i="20"/>
  <c r="B23" i="20"/>
  <c r="B22" i="20"/>
  <c r="B21" i="20"/>
  <c r="B20" i="20"/>
  <c r="B19" i="20"/>
  <c r="B18" i="20"/>
  <c r="B17" i="20"/>
  <c r="C8" i="15"/>
  <c r="C7" i="15"/>
  <c r="C6" i="15"/>
  <c r="G5" i="20" l="1"/>
  <c r="D5" i="20"/>
  <c r="A8" i="20"/>
  <c r="A5" i="20"/>
</calcChain>
</file>

<file path=xl/sharedStrings.xml><?xml version="1.0" encoding="utf-8"?>
<sst xmlns="http://schemas.openxmlformats.org/spreadsheetml/2006/main" count="1439" uniqueCount="323">
  <si>
    <t>Order ID</t>
  </si>
  <si>
    <t>Order Date</t>
  </si>
  <si>
    <t>Region</t>
  </si>
  <si>
    <t>Customer</t>
  </si>
  <si>
    <t>Product Code</t>
  </si>
  <si>
    <t>Business Segment</t>
  </si>
  <si>
    <t>Product Description</t>
  </si>
  <si>
    <t>Plant</t>
  </si>
  <si>
    <t>Quantity kg</t>
  </si>
  <si>
    <t>Unit Price USD</t>
  </si>
  <si>
    <t>Revenue USD</t>
  </si>
  <si>
    <t>Quality Score</t>
  </si>
  <si>
    <t>Delivery Status</t>
  </si>
  <si>
    <t>Lead Time Days</t>
  </si>
  <si>
    <t>CO2e kg</t>
  </si>
  <si>
    <t>Sales Rep</t>
  </si>
  <si>
    <t>Notes</t>
  </si>
  <si>
    <t>ORD-0001</t>
  </si>
  <si>
    <t>Europe</t>
  </si>
  <si>
    <t>Vertex Infrastructure</t>
  </si>
  <si>
    <t>LZ-IND-210</t>
  </si>
  <si>
    <t>Industrial</t>
  </si>
  <si>
    <t>Hydraulic Fluid Additive</t>
  </si>
  <si>
    <t>Songjiang</t>
  </si>
  <si>
    <t>At Risk</t>
  </si>
  <si>
    <t>A. Tan</t>
  </si>
  <si>
    <t>ORD-0002</t>
  </si>
  <si>
    <t>Greater China</t>
  </si>
  <si>
    <t>Apex Mobility</t>
  </si>
  <si>
    <t>Rouen</t>
  </si>
  <si>
    <t>Delayed</t>
  </si>
  <si>
    <t>C. Kumar</t>
  </si>
  <si>
    <t>ORD-0003</t>
  </si>
  <si>
    <t>Japan &amp; Korea</t>
  </si>
  <si>
    <t>LZ-BPC-330</t>
  </si>
  <si>
    <t>Beauty &amp; Personal Care</t>
  </si>
  <si>
    <t>Rheology Modifier</t>
  </si>
  <si>
    <t>On Time</t>
  </si>
  <si>
    <t>sample lot</t>
  </si>
  <si>
    <t>ORD-0004</t>
  </si>
  <si>
    <t>Metro Industrial</t>
  </si>
  <si>
    <t>LZ-HLC-520</t>
  </si>
  <si>
    <t>Healthcare</t>
  </si>
  <si>
    <t>Pharma Grade Polymer</t>
  </si>
  <si>
    <t>E. Martin</t>
  </si>
  <si>
    <t>Customer requested COA</t>
  </si>
  <si>
    <t>ORD-0005</t>
  </si>
  <si>
    <t>Southeast Asia</t>
  </si>
  <si>
    <t>Summit Healthcare</t>
  </si>
  <si>
    <t>LZ-COA-415</t>
  </si>
  <si>
    <t>Coatings</t>
  </si>
  <si>
    <t>Dispersant Polymer</t>
  </si>
  <si>
    <t>Dahej</t>
  </si>
  <si>
    <t>rush order</t>
  </si>
  <si>
    <t>ORD-0006</t>
  </si>
  <si>
    <t>LZ-BLD-610</t>
  </si>
  <si>
    <t>Building &amp; Construction</t>
  </si>
  <si>
    <t>CPVC Performance Compound</t>
  </si>
  <si>
    <t>Jurong</t>
  </si>
  <si>
    <t>ORD-0007</t>
  </si>
  <si>
    <t xml:space="preserve"> Apex Mobility  </t>
  </si>
  <si>
    <t>D. Chen</t>
  </si>
  <si>
    <t>price review</t>
  </si>
  <si>
    <t>ORD-0008</t>
  </si>
  <si>
    <t>Orion Coatings</t>
  </si>
  <si>
    <t>LZ-ELC-810</t>
  </si>
  <si>
    <t>Electronics &amp; IT</t>
  </si>
  <si>
    <t>Thermal Management Fluid</t>
  </si>
  <si>
    <t>B. Lee</t>
  </si>
  <si>
    <t>ORD-0009</t>
  </si>
  <si>
    <t>Nova Personal Care</t>
  </si>
  <si>
    <t>ORD-0010</t>
  </si>
  <si>
    <t>ORD-0011</t>
  </si>
  <si>
    <t>ORD-0012</t>
  </si>
  <si>
    <t>BluePeak Energy</t>
  </si>
  <si>
    <t>ORD-0013</t>
  </si>
  <si>
    <t>EUROPE</t>
  </si>
  <si>
    <t>ORD-0014</t>
  </si>
  <si>
    <t>Painesville</t>
  </si>
  <si>
    <t>ORD-0015</t>
  </si>
  <si>
    <t>ORD-0016</t>
  </si>
  <si>
    <t>ORD-0017</t>
  </si>
  <si>
    <t>India</t>
  </si>
  <si>
    <t>ORD-0018</t>
  </si>
  <si>
    <t>North America</t>
  </si>
  <si>
    <t>on time</t>
  </si>
  <si>
    <t>ORD-0019</t>
  </si>
  <si>
    <t>Delta Electronics</t>
  </si>
  <si>
    <t>LZ-ENE-710</t>
  </si>
  <si>
    <t>Energy &amp; Resources</t>
  </si>
  <si>
    <t>Industrial Lubricant Additive</t>
  </si>
  <si>
    <t>ORD-0020</t>
  </si>
  <si>
    <t>ORD-0021</t>
  </si>
  <si>
    <t>ORD-0022</t>
  </si>
  <si>
    <t>LZTRN101</t>
  </si>
  <si>
    <t>Transportation</t>
  </si>
  <si>
    <t>Driveline Additive Package</t>
  </si>
  <si>
    <t>ORD-0023</t>
  </si>
  <si>
    <t>ORD-0024</t>
  </si>
  <si>
    <t xml:space="preserve"> Metro Industrial  </t>
  </si>
  <si>
    <t>ORD-0025</t>
  </si>
  <si>
    <t>ORD-0026</t>
  </si>
  <si>
    <t>ORD-0027</t>
  </si>
  <si>
    <t>ORD-0028</t>
  </si>
  <si>
    <t>LZ-TRN-101</t>
  </si>
  <si>
    <t>ORD-0029</t>
  </si>
  <si>
    <t>ORD-0030</t>
  </si>
  <si>
    <t>ORD-0031</t>
  </si>
  <si>
    <t>N/A</t>
  </si>
  <si>
    <t>ORD-0032</t>
  </si>
  <si>
    <t>ORD-0033</t>
  </si>
  <si>
    <t>ORD-0034</t>
  </si>
  <si>
    <t>ORD-0035</t>
  </si>
  <si>
    <t>ORD-0036</t>
  </si>
  <si>
    <t>ORD-0037</t>
  </si>
  <si>
    <t>ORD-0038</t>
  </si>
  <si>
    <t>ORD-0039</t>
  </si>
  <si>
    <t>ORD-0040</t>
  </si>
  <si>
    <t>ORD-0041</t>
  </si>
  <si>
    <t>ORD-0042</t>
  </si>
  <si>
    <t>ORD-0043</t>
  </si>
  <si>
    <t>ORD-0044</t>
  </si>
  <si>
    <t>ORD-0045</t>
  </si>
  <si>
    <t>ORD-0046</t>
  </si>
  <si>
    <t>INDIA</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</si>
  <si>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</si>
  <si>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</si>
  <si>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</si>
  <si>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</si>
  <si>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</si>
  <si>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</si>
  <si>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</si>
  <si>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</si>
  <si>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</si>
  <si>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</si>
  <si>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</si>
  <si>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</si>
  <si>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</si>
  <si>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</si>
  <si>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</si>
  <si>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</si>
  <si>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</si>
  <si>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LZELC810</t>
  </si>
  <si>
    <t>ORD-0064</t>
  </si>
  <si>
    <t>ORD-0065</t>
  </si>
  <si>
    <t>ORD-0066</t>
  </si>
  <si>
    <t>ORD-0067</t>
  </si>
  <si>
    <t>ORD-0068</t>
  </si>
  <si>
    <t>ORD-0069</t>
  </si>
  <si>
    <t>ORD-0071</t>
  </si>
  <si>
    <t>ORD-0072</t>
  </si>
  <si>
    <t>ORD-0073</t>
  </si>
  <si>
    <t>ORD-0074</t>
  </si>
  <si>
    <t>ORD-0075</t>
  </si>
  <si>
    <t>ORD-0076</t>
  </si>
  <si>
    <t>ORD-0077</t>
  </si>
  <si>
    <t>GREATER CHINA</t>
  </si>
  <si>
    <t>ORD-0078</t>
  </si>
  <si>
    <t>ORD-0079</t>
  </si>
  <si>
    <t>ORD-0080</t>
  </si>
  <si>
    <t>ORD-0081</t>
  </si>
  <si>
    <t>ORD-0082</t>
  </si>
  <si>
    <t>ORD-0083</t>
  </si>
  <si>
    <t>ORD-0084</t>
  </si>
  <si>
    <t>ORD-0085</t>
  </si>
  <si>
    <t>ORD-0086</t>
  </si>
  <si>
    <t>ORD-0087</t>
  </si>
  <si>
    <t>ORD-0088</t>
  </si>
  <si>
    <t>ORD-0089</t>
  </si>
  <si>
    <t xml:space="preserve"> Orion Coatings  </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</si>
  <si>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</si>
  <si>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</si>
  <si>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</si>
  <si>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</si>
  <si>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</si>
  <si>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</si>
  <si>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</si>
  <si>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</si>
  <si>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</si>
  <si>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</si>
  <si>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</si>
  <si>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</si>
  <si>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</si>
  <si>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</si>
  <si>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</si>
  <si>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</si>
  <si>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</si>
  <si>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</si>
  <si>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</si>
  <si>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</si>
  <si>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</si>
  <si>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</si>
  <si>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</si>
  <si>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</si>
  <si>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</si>
  <si>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</si>
  <si>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</si>
  <si>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</si>
  <si>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</si>
  <si>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</si>
  <si>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</si>
  <si>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Month</t>
  </si>
  <si>
    <t>2026 Commercial &amp; Operations Dashboard</t>
  </si>
  <si>
    <t>Key insights from 120 orders in RawOrders</t>
  </si>
  <si>
    <t>TOTAL REVENUE</t>
  </si>
  <si>
    <t>ORDERS</t>
  </si>
  <si>
    <t>AVG QUALITY</t>
  </si>
  <si>
    <t>ON-TIME RATE</t>
  </si>
  <si>
    <t>AVG LEAD TIME</t>
  </si>
  <si>
    <t>CO2e / KG</t>
  </si>
  <si>
    <t>FOCUS: Southeast Asia leads revenue at 25.1%; 47 orders (39.2%) are delayed or at risk. Sep 2026 posted the highest average quality score (90.6).</t>
  </si>
  <si>
    <t>Top Customers by Revenue</t>
  </si>
  <si>
    <t>Share of Revenue</t>
  </si>
  <si>
    <t>Executive Readout</t>
  </si>
  <si>
    <t>Revenue is concentrated in Southeast Asia and Healthcare (19.4% of revenue). Delivery execution is the main watchpoint, with only 60.8% of orders on time. Quality remains strong at 87.7 average, while emissions intensity is 1.280 kg CO2e per kg sold.</t>
  </si>
  <si>
    <t>Avg Quality</t>
  </si>
  <si>
    <t>Orders</t>
  </si>
  <si>
    <t>RawOrders Data Quality Audit</t>
  </si>
  <si>
    <t>Full scan of 120 records and 17 fields; source data was not changed.</t>
  </si>
  <si>
    <t>Category</t>
  </si>
  <si>
    <t>Severity</t>
  </si>
  <si>
    <t>Field</t>
  </si>
  <si>
    <t>Affected records</t>
  </si>
  <si>
    <t>Rate</t>
  </si>
  <si>
    <t>Examples / evidence</t>
  </si>
  <si>
    <t>Missing values</t>
  </si>
  <si>
    <t>High</t>
  </si>
  <si>
    <t>ORD-0039, ORD-0084</t>
  </si>
  <si>
    <t>Info</t>
  </si>
  <si>
    <t>ORD-0001, ORD-0002, ORD-0010, ORD-0013, ORD-0016, ORD-0019, ORD-0033, ORD-0034</t>
  </si>
  <si>
    <t>Duplicates</t>
  </si>
  <si>
    <t>Entire row</t>
  </si>
  <si>
    <t>1 duplicate group(s)</t>
  </si>
  <si>
    <t>Inconsistent labels</t>
  </si>
  <si>
    <t>Medium</t>
  </si>
  <si>
    <t>Europe (12) / EUROPE (1); Greater China (29) / GREATER CHINA (1); India (19) / INDIA (1)</t>
  </si>
  <si>
    <t>Apex Mobility (8) /  Apex Mobility   (2); Metro Industrial (13) /  Metro Industrial   (1); Orion Coatings (15) /  Orion Coatings   (1)</t>
  </si>
  <si>
    <t>On Time (73) / on time (3)</t>
  </si>
  <si>
    <t>Record(s)</t>
  </si>
  <si>
    <t>Observed value / variants</t>
  </si>
  <si>
    <t>Issue</t>
  </si>
  <si>
    <t>Suggested action</t>
  </si>
  <si>
    <t>2 blank cell(s)</t>
  </si>
  <si>
    <t>Populate or validate required values</t>
  </si>
  <si>
    <t>32 blank cell(s)</t>
  </si>
  <si>
    <t>Confirm blanks are acceptable for optional notes</t>
  </si>
  <si>
    <t>2 records share this Order ID</t>
  </si>
  <si>
    <t>Retain the valid record and assign unique IDs to the others</t>
  </si>
  <si>
    <t>ORD-0020, ORD-0020</t>
  </si>
  <si>
    <t>2 completely identical records</t>
  </si>
  <si>
    <t>Remove confirmed duplicate rows</t>
  </si>
  <si>
    <t>Europe (12) / EUROPE (1)</t>
  </si>
  <si>
    <t>Same normalized value appears with different case or spacing</t>
  </si>
  <si>
    <t>Standardize to one approved label</t>
  </si>
  <si>
    <t>Greater China (29) / GREATER CHINA (1)</t>
  </si>
  <si>
    <t>India (19) / INDIA (1)</t>
  </si>
  <si>
    <t>Apex Mobility (8) /  Apex Mobility   (2)</t>
  </si>
  <si>
    <t>Metro Industrial (13) /  Metro Industrial   (1)</t>
  </si>
  <si>
    <t>Orion Coatings (15) /  Orion Coatings   (1)</t>
  </si>
  <si>
    <t>Year</t>
  </si>
  <si>
    <t>Revenue (USD bn)</t>
  </si>
  <si>
    <t>Data Status</t>
  </si>
  <si>
    <t>URL</t>
  </si>
  <si>
    <t>Craft — Lubrizol Financials</t>
  </si>
  <si>
    <t>https://craft.co/lubrizol/financials</t>
  </si>
  <si>
    <t>https://brk-b.com/lubrizol-approaching-1-billion-in-earnings-2024_240816.html</t>
  </si>
  <si>
    <t>https://www.berkshirehathaway.com/2025ar/2025ar.pdf</t>
  </si>
  <si>
    <t>Source</t>
  </si>
  <si>
    <t>The Lubrizol Corporation — Five-Year Financial Data Available</t>
  </si>
  <si>
    <t>Calendar years 2021–2025 | USD billions | Standalone public data is limited because Lubrizol is a Berkshire Hathaway subsidiary</t>
  </si>
  <si>
    <t>YoY Revenue Growth</t>
  </si>
  <si>
    <t>Pre-tax Earnings (USD bn)</t>
  </si>
  <si>
    <t>Source / Basis</t>
  </si>
  <si>
    <t>Publicly Available Metrics</t>
  </si>
  <si>
    <t>Reported / derived</t>
  </si>
  <si>
    <t>Berkshire annual-report discussion summarized by BRK-B.com</t>
  </si>
  <si>
    <t>Revenue; pre-tax earnings</t>
  </si>
  <si>
    <t>Pre-tax earnings stated as approximately $0.5B after an about-50% decline.</t>
  </si>
  <si>
    <t>Reported / estimated range midpoint</t>
  </si>
  <si>
    <t>Craft revenue series; Berkshire discussion summarized by BRK-B.com</t>
  </si>
  <si>
    <t>Revenue; pre-tax earnings range</t>
  </si>
  <si>
    <t>Pre-tax earnings publicly described at approximately $0.7–$0.8B; table uses $0.75B midpoint.</t>
  </si>
  <si>
    <t>Revenue declined 4.0%; pre-tax earnings described as roughly flat at $0.7–$0.8B.</t>
  </si>
  <si>
    <t>Projection / third-party estimate</t>
  </si>
  <si>
    <t>BRK-B.com projection based on H1 2024; Zippia revenue estimate</t>
  </si>
  <si>
    <t>Revenue; pre-tax earnings projection</t>
  </si>
  <si>
    <t>H1 revenue was $3.3B; full-year amounts shown are projections, not audited standalone results.</t>
  </si>
  <si>
    <t>Not publicly disclosed standalone</t>
  </si>
  <si>
    <t>Berkshire Hathaway 2025 Annual Report; Lubrizol public resources</t>
  </si>
  <si>
    <t>Operational commentary only</t>
  </si>
  <si>
    <t>Berkshire discusses Lubrizol operationally but does not provide a standalone annual income statement in the reviewed public materials.</t>
  </si>
  <si>
    <t>N/M</t>
  </si>
  <si>
    <t>Availability note</t>
  </si>
  <si>
    <t>Lubrizol does not publish a complete standalone annual report comparable to a listed company. Net income, EBITDA, assets, debt and cash flow were not consistently available for all five years in the reviewed public sources. Values above are therefore limited to the metrics that could be sourced, and estimates/projections are explicitly labeled.</t>
  </si>
  <si>
    <t>Berkshire Hathaway 2025 Annual Report</t>
  </si>
  <si>
    <t>BRK-B.com — Lubrizol in 2023</t>
  </si>
  <si>
    <t>https://brk-b.com/lubrizol-in-2023-navigating-revenue-challenges_240227.html</t>
  </si>
  <si>
    <t>BRK-B.com — Lubrizol 2024 outlook</t>
  </si>
  <si>
    <t>Zippia — Lubrizol Revenue</t>
  </si>
  <si>
    <t>https://www.zippia.com/lubrizol-careers-41270/revenue/</t>
  </si>
  <si>
    <t>Lubrizol — 2024 Sustainability Update</t>
  </si>
  <si>
    <t>https://www.lubrizol.com/company/news/2025/04/lubrizol-releases-2024-sustainability-report-update</t>
  </si>
  <si>
    <t>Avg Lead Days</t>
  </si>
  <si>
    <t>Risk Probability</t>
  </si>
  <si>
    <t>Risk Level</t>
  </si>
  <si>
    <t>Actual</t>
  </si>
  <si>
    <t>Forecast</t>
  </si>
  <si>
    <t>2026 Orders Pivot Dashboard</t>
  </si>
  <si>
    <t>Use the slicers to filter revenue by Region, Business Segment, Plant, and Delivery Status</t>
  </si>
  <si>
    <t>Revenue by Region</t>
  </si>
  <si>
    <t>Three-Month Delivery Outlook</t>
  </si>
  <si>
    <t>Nov 2026–Jan 2027 forecast | 120 source rows | Jan–Sep monthly trend basis</t>
  </si>
  <si>
    <t>3-MONTH AVG LEAD</t>
  </si>
  <si>
    <t>AVG DELAY / AT-RISK</t>
  </si>
  <si>
    <t>RISK CHANGE</t>
  </si>
  <si>
    <t>MODEL</t>
  </si>
  <si>
    <t>Linear monthly trend</t>
  </si>
  <si>
    <t>Forecast Month</t>
  </si>
  <si>
    <t>Delayed / At-Risk Probability</t>
  </si>
  <si>
    <t>Month Index</t>
  </si>
  <si>
    <t>Monthly Trend</t>
  </si>
  <si>
    <t>Avg Lead Time Days</t>
  </si>
  <si>
    <t>Series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</si>
</sst>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yyyy\-mm\-dd"/>
    <numFmt numFmtId="165" formatCode="0.0%"/>
    <numFmt numFmtId="166" formatCode="0.000"/>
    <numFmt numFmtId="167" formatCode="&quot;$&quot;#,##0"/>
    <numFmt numFmtId="168" formatCode="0.0"/>
    <numFmt numFmtId="169" formatCode="0.0\ &quot;days&quot;"/>
    <numFmt numFmtId="174" formatCode="\+0.0%;\-0.0%;0.0%"/>
  </numFmts>
  <fonts count="25" x14ac:knownFonts="1">
    <font>
      <sz val="11"/>
      <color theme="1"/>
      <name val="Calibri"/>
      <family val="2"/>
      <scheme val="minor"/>
    </font>
    <font>
      <b/>
      <sz val="11"/>
      <color rgb="FFFFFFFF"/>
      <name val="Calibri"/>
    </font>
    <font>
      <sz val="11"/>
      <color rgb="FF253746"/>
      <name val="Aptos"/>
    </font>
    <font>
      <b/>
      <sz val="11"/>
      <color rgb="FFFFFFFF"/>
      <name val="Aptos"/>
    </font>
    <font>
      <b/>
      <sz val="22"/>
      <color rgb="FFFFFFFF"/>
      <name val="Aptos"/>
    </font>
    <font>
      <sz val="11"/>
      <color rgb="FF607480"/>
      <name val="Aptos"/>
    </font>
    <font>
      <b/>
      <sz val="9"/>
      <color rgb="FFFFFFFF"/>
      <name val="Aptos"/>
    </font>
    <font>
      <b/>
      <sz val="19"/>
      <color rgb="FF17324D"/>
      <name val="Aptos"/>
    </font>
    <font>
      <b/>
      <sz val="11"/>
      <color rgb="FF7A4517"/>
      <name val="Aptos"/>
    </font>
    <font>
      <sz val="11"/>
      <color theme="1"/>
      <name val="Aptos"/>
    </font>
    <font>
      <sz val="10"/>
      <color theme="1"/>
      <name val="Aptos"/>
    </font>
    <font>
      <b/>
      <sz val="10"/>
      <color rgb="FFFFFFFF"/>
      <name val="Aptos"/>
    </font>
    <font>
      <b/>
      <sz val="18"/>
      <color rgb="FFFFFFFF"/>
      <name val="Aptos"/>
    </font>
    <font>
      <sz val="10"/>
      <color rgb="FF244062"/>
      <name val="Aptos"/>
    </font>
    <font>
      <b/>
      <sz val="11"/>
      <color rgb="FF17365D"/>
      <name val="Aptos"/>
    </font>
    <font>
      <i/>
      <sz val="11"/>
      <color rgb="FF244062"/>
      <name val="Aptos"/>
    </font>
    <font>
      <b/>
      <sz val="11"/>
      <color rgb="FF274E13"/>
      <name val="Aptos"/>
    </font>
    <font>
      <b/>
      <sz val="20"/>
      <color rgb="FFFFFFFF"/>
      <name val="Aptos"/>
    </font>
    <font>
      <i/>
      <sz val="11"/>
      <color rgb="FF536273"/>
      <name val="Aptos"/>
    </font>
    <font>
      <sz val="11"/>
      <color rgb="FF243746"/>
      <name val="Aptos"/>
    </font>
    <font>
      <sz val="10"/>
      <color rgb="FFD9E7EF"/>
      <name val="Aptos"/>
    </font>
    <font>
      <b/>
      <sz val="11"/>
      <color rgb="FF243746"/>
      <name val="Aptos"/>
    </font>
    <font>
      <b/>
      <sz val="16"/>
      <color rgb="FF243746"/>
      <name val="Aptos"/>
    </font>
    <font>
      <i/>
      <sz val="11"/>
      <color rgb="FF243746"/>
      <name val="Aptos"/>
    </font>
    <font>
      <b/>
      <sz val="11"/>
      <color rgb="FF7F6000"/>
      <name val="Aptos"/>
    </font>
  </fonts>
  <fills count="24">
    <fill>
      <patternFill patternType="none"/>
    </fill>
    <fill>
      <patternFill patternType="gray125"/>
    </fill>
    <fill>
      <patternFill patternType="solid">
        <fgColor rgb="FF17365D"/>
      </patternFill>
    </fill>
    <fill>
      <patternFill patternType="solid">
        <fgColor rgb="FFFFFFFF"/>
        <bgColor indexed="64"/>
      </patternFill>
    </fill>
    <fill>
      <patternFill patternType="solid">
        <fgColor rgb="FF17324D"/>
        <bgColor indexed="64"/>
      </patternFill>
    </fill>
    <fill>
      <patternFill patternType="solid">
        <fgColor rgb="FF0F8B8D"/>
        <bgColor indexed="64"/>
      </patternFill>
    </fill>
    <fill>
      <patternFill patternType="solid">
        <fgColor rgb="FFEAF2F5"/>
        <bgColor indexed="64"/>
      </patternFill>
    </fill>
    <fill>
      <patternFill patternType="solid">
        <fgColor rgb="FFFFF3E6"/>
        <bgColor indexed="64"/>
      </patternFill>
    </fill>
    <fill>
      <patternFill patternType="solid">
        <fgColor rgb="FFF4F8FA"/>
        <bgColor indexed="64"/>
      </patternFill>
    </fill>
    <fill>
      <patternFill patternType="solid">
        <fgColor rgb="FF17365D"/>
        <bgColor indexed="64"/>
      </patternFill>
    </fill>
    <fill>
      <patternFill patternType="solid">
        <fgColor rgb="FFD9EAF7"/>
        <bgColor indexed="64"/>
      </patternFill>
    </fill>
    <fill>
      <patternFill patternType="solid">
        <fgColor rgb="FF2F75B5"/>
        <bgColor indexed="64"/>
      </patternFill>
    </fill>
    <fill>
      <patternFill patternType="solid">
        <fgColor rgb="FFFFF2CC"/>
        <bgColor indexed="64"/>
      </patternFill>
    </fill>
    <fill>
      <patternFill patternType="solid">
        <fgColor rgb="FFF8FBFE"/>
        <bgColor indexed="64"/>
      </patternFill>
    </fill>
    <fill>
      <patternFill patternType="solid">
        <fgColor rgb="FFD9EAD3"/>
        <bgColor indexed="64"/>
      </patternFill>
    </fill>
    <fill>
      <patternFill patternType="solid">
        <fgColor rgb="FFF3F8F1"/>
        <bgColor indexed="64"/>
      </patternFill>
    </fill>
    <fill>
      <patternFill patternType="solid">
        <fgColor rgb="FF595959"/>
        <bgColor indexed="64"/>
      </patternFill>
    </fill>
    <fill>
      <patternFill patternType="solid">
        <fgColor rgb="FFF2F2F2"/>
        <bgColor indexed="64"/>
      </patternFill>
    </fill>
    <fill>
      <patternFill patternType="solid">
        <fgColor rgb="FFF7F9FC"/>
        <bgColor indexed="64"/>
      </patternFill>
    </fill>
    <fill>
      <patternFill patternType="solid">
        <fgColor rgb="FF00A6A6"/>
        <bgColor indexed="64"/>
      </patternFill>
    </fill>
    <fill>
      <patternFill patternType="solid">
        <fgColor rgb="FFEAF3F5"/>
        <bgColor indexed="64"/>
      </patternFill>
    </fill>
    <fill>
      <patternFill patternType="solid">
        <fgColor rgb="FFDDEFF0"/>
        <bgColor indexed="64"/>
      </patternFill>
    </fill>
    <fill>
      <patternFill patternType="solid">
        <fgColor rgb="FFF6FAFB"/>
        <bgColor indexed="64"/>
      </patternFill>
    </fill>
    <fill>
      <patternFill patternType="solid">
        <fgColor rgb="FFEAF7F7"/>
        <bgColor indexed="64"/>
      </patternFill>
    </fill>
  </fills>
  <borders count="2">
    <border>
      <left/>
      <right/>
      <top/>
      <bottom/>
      <diagonal/>
    </border>
    <border>
      <left/>
      <right/>
      <top/>
      <bottom style="thin">
        <color rgb="FFD9E1F2"/>
      </bottom>
      <diagonal/>
    </border>
  </borders>
  <cellStyleXfs count="1">
    <xf numFmtId="0" fontId="0" fillId="0" borderId="0"/>
  </cellStyleXfs>
  <cellXfs count="75">
    <xf numFmtId="0" fontId="0" fillId="0" borderId="0" xfId="0"/>
    <xf numFmtId="0" fontId="1" fillId="2" borderId="1" xfId="0" applyFont="1" applyFill="1" applyBorder="1" applyAlignment="1">
      <alignment vertical="top"/>
    </xf>
    <xf numFmtId="0" fontId="0" fillId="0" borderId="1" xfId="0" applyBorder="1" applyAlignment="1">
      <alignment vertical="top"/>
    </xf>
    <xf numFmtId="164" fontId="0" fillId="0" borderId="1" xfId="0" applyNumberFormat="1" applyBorder="1" applyAlignment="1">
      <alignment vertical="top"/>
    </xf>
    <xf numFmtId="4" fontId="0" fillId="0" borderId="1" xfId="0" applyNumberFormat="1" applyBorder="1" applyAlignment="1">
      <alignment vertical="top"/>
    </xf>
    <xf numFmtId="167" fontId="0" fillId="0" borderId="0" xfId="0" applyNumberFormat="1"/>
    <xf numFmtId="17" fontId="0" fillId="0" borderId="0" xfId="0" applyNumberFormat="1"/>
    <xf numFmtId="0" fontId="2" fillId="3" borderId="0" xfId="0" applyFont="1" applyFill="1"/>
    <xf numFmtId="0" fontId="3" fillId="4" borderId="0" xfId="0" applyFont="1" applyFill="1"/>
    <xf numFmtId="0" fontId="3" fillId="5" borderId="0" xfId="0" applyFont="1" applyFill="1"/>
    <xf numFmtId="0" fontId="2" fillId="8" borderId="0" xfId="0" applyFont="1" applyFill="1"/>
    <xf numFmtId="167" fontId="2" fillId="8" borderId="0" xfId="0" applyNumberFormat="1" applyFont="1" applyFill="1"/>
    <xf numFmtId="165" fontId="2" fillId="8" borderId="0" xfId="0" applyNumberFormat="1" applyFont="1" applyFill="1"/>
    <xf numFmtId="0" fontId="2" fillId="8" borderId="0" xfId="0" applyFont="1" applyFill="1" applyAlignment="1">
      <alignment vertical="top" wrapText="1"/>
    </xf>
    <xf numFmtId="0" fontId="6" fillId="5" borderId="0" xfId="0" applyFont="1" applyFill="1" applyAlignment="1">
      <alignment horizontal="center" vertical="center"/>
    </xf>
    <xf numFmtId="169" fontId="7" fillId="6" borderId="0" xfId="0" applyNumberFormat="1" applyFont="1" applyFill="1" applyAlignment="1">
      <alignment horizontal="center" vertical="center"/>
    </xf>
    <xf numFmtId="0" fontId="7" fillId="6" borderId="0" xfId="0" applyFont="1" applyFill="1" applyAlignment="1">
      <alignment horizontal="center" vertical="center"/>
    </xf>
    <xf numFmtId="166" fontId="7" fillId="6" borderId="0" xfId="0" applyNumberFormat="1" applyFont="1" applyFill="1" applyAlignment="1">
      <alignment horizontal="center" vertical="center"/>
    </xf>
    <xf numFmtId="0" fontId="8" fillId="7" borderId="0" xfId="0" applyFont="1" applyFill="1" applyAlignment="1">
      <alignment wrapText="1"/>
    </xf>
    <xf numFmtId="0" fontId="3" fillId="4" borderId="0" xfId="0" applyFont="1" applyFill="1"/>
    <xf numFmtId="0" fontId="4" fillId="4" borderId="0" xfId="0" applyFont="1" applyFill="1"/>
    <xf numFmtId="0" fontId="5" fillId="3" borderId="0" xfId="0" applyFont="1" applyFill="1"/>
    <xf numFmtId="167" fontId="7" fillId="6" borderId="0" xfId="0" applyNumberFormat="1" applyFont="1" applyFill="1" applyAlignment="1">
      <alignment horizontal="center" vertical="center"/>
    </xf>
    <xf numFmtId="1" fontId="7" fillId="6" borderId="0" xfId="0" applyNumberFormat="1" applyFont="1" applyFill="1" applyAlignment="1">
      <alignment horizontal="center" vertical="center"/>
    </xf>
    <xf numFmtId="168" fontId="7" fillId="6" borderId="0" xfId="0" applyNumberFormat="1" applyFont="1" applyFill="1" applyAlignment="1">
      <alignment horizontal="center" vertical="center"/>
    </xf>
    <xf numFmtId="165" fontId="7" fillId="6" borderId="0" xfId="0" applyNumberFormat="1" applyFont="1" applyFill="1" applyAlignment="1">
      <alignment horizontal="center" vertical="center"/>
    </xf>
    <xf numFmtId="0" fontId="9" fillId="0" borderId="0" xfId="0" applyFont="1"/>
    <xf numFmtId="0" fontId="10" fillId="0" borderId="0" xfId="0" applyFont="1"/>
    <xf numFmtId="0" fontId="12" fillId="9" borderId="0" xfId="0" applyFont="1" applyFill="1"/>
    <xf numFmtId="0" fontId="13" fillId="10" borderId="0" xfId="0" applyFont="1" applyFill="1"/>
    <xf numFmtId="0" fontId="11" fillId="11" borderId="0" xfId="0" applyFont="1" applyFill="1"/>
    <xf numFmtId="0" fontId="10" fillId="0" borderId="0" xfId="0" applyFont="1" applyAlignment="1">
      <alignment vertical="top"/>
    </xf>
    <xf numFmtId="10" fontId="10" fillId="0" borderId="0" xfId="0" applyNumberFormat="1" applyFont="1" applyAlignment="1">
      <alignment vertical="top"/>
    </xf>
    <xf numFmtId="0" fontId="10" fillId="0" borderId="0" xfId="0" applyFont="1" applyAlignment="1">
      <alignment vertical="top" wrapText="1"/>
    </xf>
    <xf numFmtId="165" fontId="0" fillId="0" borderId="0" xfId="0" applyNumberFormat="1"/>
    <xf numFmtId="0" fontId="14" fillId="10" borderId="0" xfId="0" applyFont="1" applyFill="1"/>
    <xf numFmtId="0" fontId="12" fillId="9" borderId="0" xfId="0" applyFont="1" applyFill="1" applyAlignment="1">
      <alignment horizontal="left" vertical="center"/>
    </xf>
    <xf numFmtId="0" fontId="15" fillId="10" borderId="0" xfId="0" applyFont="1" applyFill="1"/>
    <xf numFmtId="0" fontId="3" fillId="11" borderId="0" xfId="0" applyFont="1" applyFill="1" applyAlignment="1">
      <alignment vertical="center" wrapText="1"/>
    </xf>
    <xf numFmtId="0" fontId="9" fillId="13" borderId="0" xfId="0" applyFont="1" applyFill="1" applyAlignment="1">
      <alignment horizontal="center" vertical="top"/>
    </xf>
    <xf numFmtId="168" fontId="9" fillId="13" borderId="0" xfId="0" applyNumberFormat="1" applyFont="1" applyFill="1" applyAlignment="1">
      <alignment horizontal="right" vertical="top"/>
    </xf>
    <xf numFmtId="165" fontId="9" fillId="13" borderId="0" xfId="0" applyNumberFormat="1" applyFont="1" applyFill="1" applyAlignment="1">
      <alignment horizontal="right" vertical="top"/>
    </xf>
    <xf numFmtId="2" fontId="9" fillId="13" borderId="0" xfId="0" applyNumberFormat="1" applyFont="1" applyFill="1" applyAlignment="1">
      <alignment horizontal="right" vertical="top"/>
    </xf>
    <xf numFmtId="0" fontId="9" fillId="13" borderId="0" xfId="0" applyFont="1" applyFill="1" applyAlignment="1">
      <alignment vertical="top" wrapText="1"/>
    </xf>
    <xf numFmtId="0" fontId="16" fillId="14" borderId="0" xfId="0" applyFont="1" applyFill="1"/>
    <xf numFmtId="0" fontId="9" fillId="15" borderId="0" xfId="0" applyFont="1" applyFill="1" applyAlignment="1">
      <alignment vertical="top" wrapText="1"/>
    </xf>
    <xf numFmtId="0" fontId="3" fillId="16" borderId="0" xfId="0" applyFont="1" applyFill="1"/>
    <xf numFmtId="0" fontId="9" fillId="17" borderId="0" xfId="0" applyFont="1" applyFill="1"/>
    <xf numFmtId="16" fontId="0" fillId="0" borderId="0" xfId="0" applyNumberFormat="1"/>
    <xf numFmtId="0" fontId="9" fillId="18" borderId="0" xfId="0" applyFont="1" applyFill="1"/>
    <xf numFmtId="167" fontId="9" fillId="18" borderId="0" xfId="0" applyNumberFormat="1" applyFont="1" applyFill="1"/>
    <xf numFmtId="0" fontId="17" fillId="9" borderId="0" xfId="0" applyFont="1" applyFill="1" applyAlignment="1">
      <alignment vertical="center"/>
    </xf>
    <xf numFmtId="0" fontId="18" fillId="18" borderId="0" xfId="0" applyFont="1" applyFill="1"/>
    <xf numFmtId="0" fontId="19" fillId="3" borderId="0" xfId="0" applyFont="1" applyFill="1"/>
    <xf numFmtId="0" fontId="19" fillId="4" borderId="0" xfId="0" applyFont="1" applyFill="1"/>
    <xf numFmtId="0" fontId="20" fillId="4" borderId="0" xfId="0" applyFont="1" applyFill="1"/>
    <xf numFmtId="0" fontId="3" fillId="19" borderId="0" xfId="0" applyFont="1" applyFill="1" applyAlignment="1">
      <alignment horizontal="center"/>
    </xf>
    <xf numFmtId="0" fontId="3" fillId="19" borderId="0" xfId="0" applyFont="1" applyFill="1" applyBorder="1" applyAlignment="1">
      <alignment horizontal="center"/>
    </xf>
    <xf numFmtId="0" fontId="22" fillId="20" borderId="0" xfId="0" applyFont="1" applyFill="1" applyAlignment="1">
      <alignment horizontal="center" vertical="center"/>
    </xf>
    <xf numFmtId="0" fontId="19" fillId="21" borderId="0" xfId="0" applyFont="1" applyFill="1"/>
    <xf numFmtId="0" fontId="21" fillId="21" borderId="0" xfId="0" applyFont="1" applyFill="1"/>
    <xf numFmtId="0" fontId="23" fillId="23" borderId="0" xfId="0" applyFont="1" applyFill="1"/>
    <xf numFmtId="17" fontId="19" fillId="22" borderId="0" xfId="0" applyNumberFormat="1" applyFont="1" applyFill="1"/>
    <xf numFmtId="17" fontId="19" fillId="3" borderId="0" xfId="0" applyNumberFormat="1" applyFont="1" applyFill="1"/>
    <xf numFmtId="17" fontId="23" fillId="23" borderId="0" xfId="0" applyNumberFormat="1" applyFont="1" applyFill="1"/>
    <xf numFmtId="169" fontId="19" fillId="22" borderId="0" xfId="0" applyNumberFormat="1" applyFont="1" applyFill="1"/>
    <xf numFmtId="168" fontId="19" fillId="3" borderId="0" xfId="0" applyNumberFormat="1" applyFont="1" applyFill="1"/>
    <xf numFmtId="168" fontId="23" fillId="23" borderId="0" xfId="0" applyNumberFormat="1" applyFont="1" applyFill="1"/>
    <xf numFmtId="165" fontId="19" fillId="22" borderId="0" xfId="0" applyNumberFormat="1" applyFont="1" applyFill="1"/>
    <xf numFmtId="165" fontId="19" fillId="3" borderId="0" xfId="0" applyNumberFormat="1" applyFont="1" applyFill="1"/>
    <xf numFmtId="165" fontId="23" fillId="23" borderId="0" xfId="0" applyNumberFormat="1" applyFont="1" applyFill="1"/>
    <xf numFmtId="169" fontId="22" fillId="20" borderId="0" xfId="0" applyNumberFormat="1" applyFont="1" applyFill="1" applyAlignment="1">
      <alignment horizontal="center" vertical="center"/>
    </xf>
    <xf numFmtId="165" fontId="22" fillId="20" borderId="0" xfId="0" applyNumberFormat="1" applyFont="1" applyFill="1" applyAlignment="1">
      <alignment horizontal="center" vertical="center"/>
    </xf>
    <xf numFmtId="174" fontId="22" fillId="20" borderId="0" xfId="0" applyNumberFormat="1" applyFont="1" applyFill="1" applyAlignment="1">
      <alignment horizontal="center" vertical="center"/>
    </xf>
    <xf numFmtId="0" fontId="24" fillId="12" borderId="0" xfId="0" applyFont="1" applyFill="1"/>
  </cellXfs>
  <cellStyles count="1">
    <cellStyle name="Normal" xfId="0" builtinId="0"/>
  </cellStyles>
  <dxfs count="262">
    <dxf>
      <font>
        <name val="Aptos"/>
      </font>
    </dxf>
    <dxf>
      <font>
        <name val="Aptos"/>
      </font>
    </dxf>
    <dxf>
      <font>
        <name val="Aptos"/>
      </font>
    </dxf>
    <dxf>
      <font>
        <name val="Aptos"/>
      </font>
    </dxf>
    <dxf>
      <font>
        <name val="Aptos"/>
      </font>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ont>
        <name val="Aptos"/>
      </font>
    </dxf>
    <dxf>
      <font>
        <name val="Aptos"/>
      </font>
    </dxf>
    <dxf>
      <font>
        <name val="Aptos"/>
      </font>
    </dxf>
    <dxf>
      <font>
        <name val="Aptos"/>
      </font>
    </dxf>
    <dxf>
      <font>
        <name val="Aptos"/>
      </font>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ont>
        <name val="Aptos"/>
      </font>
    </dxf>
    <dxf>
      <font>
        <name val="Aptos"/>
      </font>
    </dxf>
    <dxf>
      <font>
        <name val="Aptos"/>
      </font>
    </dxf>
    <dxf>
      <font>
        <name val="Aptos"/>
      </font>
    </dxf>
    <dxf>
      <font>
        <name val="Aptos"/>
      </font>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ont>
        <name val="Aptos"/>
      </font>
    </dxf>
    <dxf>
      <font>
        <name val="Aptos"/>
      </font>
    </dxf>
    <dxf>
      <font>
        <name val="Aptos"/>
      </font>
    </dxf>
    <dxf>
      <font>
        <name val="Aptos"/>
      </font>
    </dxf>
    <dxf>
      <font>
        <name val="Aptos"/>
      </font>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ont>
        <name val="Aptos"/>
      </font>
    </dxf>
    <dxf>
      <font>
        <name val="Aptos"/>
      </font>
    </dxf>
    <dxf>
      <font>
        <name val="Aptos"/>
      </font>
    </dxf>
    <dxf>
      <font>
        <name val="Aptos"/>
      </font>
    </dxf>
    <dxf>
      <font>
        <name val="Aptos"/>
      </font>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ont>
        <name val="Aptos"/>
      </font>
    </dxf>
    <dxf>
      <font>
        <name val="Aptos"/>
      </font>
    </dxf>
    <dxf>
      <font>
        <name val="Aptos"/>
      </font>
    </dxf>
    <dxf>
      <font>
        <name val="Aptos"/>
      </font>
    </dxf>
    <dxf>
      <font>
        <name val="Aptos"/>
      </font>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ont>
        <name val="Aptos"/>
      </font>
    </dxf>
    <dxf>
      <font>
        <name val="Aptos"/>
      </font>
    </dxf>
    <dxf>
      <font>
        <name val="Aptos"/>
      </font>
    </dxf>
    <dxf>
      <font>
        <name val="Aptos"/>
      </font>
    </dxf>
    <dxf>
      <font>
        <name val="Aptos"/>
      </font>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ont>
        <name val="Aptos"/>
      </font>
    </dxf>
    <dxf>
      <font>
        <name val="Aptos"/>
      </font>
    </dxf>
    <dxf>
      <font>
        <name val="Aptos"/>
      </font>
    </dxf>
    <dxf>
      <font>
        <name val="Aptos"/>
      </font>
    </dxf>
    <dxf>
      <font>
        <name val="Aptos"/>
      </font>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ont>
        <name val="Aptos"/>
      </font>
    </dxf>
    <dxf>
      <font>
        <name val="Aptos"/>
      </font>
    </dxf>
    <dxf>
      <font>
        <name val="Aptos"/>
      </font>
    </dxf>
    <dxf>
      <font>
        <name val="Aptos"/>
      </font>
    </dxf>
    <dxf>
      <font>
        <name val="Aptos"/>
      </font>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ont>
        <name val="Aptos"/>
      </font>
    </dxf>
    <dxf>
      <font>
        <name val="Aptos"/>
      </font>
    </dxf>
    <dxf>
      <font>
        <name val="Aptos"/>
      </font>
    </dxf>
    <dxf>
      <font>
        <name val="Aptos"/>
      </font>
    </dxf>
    <dxf>
      <font>
        <name val="Aptos"/>
      </font>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ont>
        <name val="Aptos"/>
      </font>
    </dxf>
    <dxf>
      <font>
        <name val="Aptos"/>
      </font>
    </dxf>
    <dxf>
      <font>
        <name val="Aptos"/>
      </font>
    </dxf>
    <dxf>
      <font>
        <name val="Aptos"/>
      </font>
    </dxf>
    <dxf>
      <font>
        <name val="Aptos"/>
      </font>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ont>
        <name val="Aptos"/>
      </font>
    </dxf>
    <dxf>
      <font>
        <name val="Aptos"/>
      </font>
    </dxf>
    <dxf>
      <font>
        <name val="Aptos"/>
      </font>
    </dxf>
    <dxf>
      <font>
        <name val="Aptos"/>
      </font>
    </dxf>
    <dxf>
      <font>
        <name val="Aptos"/>
      </font>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ont>
        <name val="Aptos"/>
      </font>
    </dxf>
    <dxf>
      <font>
        <name val="Aptos"/>
      </font>
    </dxf>
    <dxf>
      <font>
        <name val="Aptos"/>
      </font>
    </dxf>
    <dxf>
      <font>
        <name val="Aptos"/>
      </font>
    </dxf>
    <dxf>
      <font>
        <name val="Aptos"/>
      </font>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ont>
        <name val="Aptos"/>
      </font>
    </dxf>
    <dxf>
      <font>
        <name val="Aptos"/>
      </font>
    </dxf>
    <dxf>
      <font>
        <name val="Aptos"/>
      </font>
    </dxf>
    <dxf>
      <font>
        <name val="Aptos"/>
      </font>
    </dxf>
    <dxf>
      <font>
        <name val="Aptos"/>
      </font>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ont>
        <name val="Aptos"/>
      </font>
    </dxf>
    <dxf>
      <font>
        <name val="Aptos"/>
      </font>
    </dxf>
    <dxf>
      <font>
        <name val="Aptos"/>
      </font>
    </dxf>
    <dxf>
      <font>
        <name val="Aptos"/>
      </font>
    </dxf>
    <dxf>
      <font>
        <name val="Aptos"/>
      </font>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ont>
        <name val="Aptos"/>
      </font>
    </dxf>
    <dxf>
      <font>
        <name val="Aptos"/>
      </font>
    </dxf>
    <dxf>
      <font>
        <name val="Aptos"/>
      </font>
    </dxf>
    <dxf>
      <font>
        <name val="Aptos"/>
      </font>
    </dxf>
    <dxf>
      <font>
        <name val="Aptos"/>
      </font>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ont>
        <name val="Aptos"/>
      </font>
    </dxf>
    <dxf>
      <font>
        <name val="Aptos"/>
      </font>
    </dxf>
    <dxf>
      <font>
        <name val="Aptos"/>
      </font>
    </dxf>
    <dxf>
      <font>
        <name val="Aptos"/>
      </font>
    </dxf>
    <dxf>
      <font>
        <name val="Aptos"/>
      </font>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ont>
        <name val="Aptos"/>
      </font>
    </dxf>
    <dxf>
      <font>
        <name val="Aptos"/>
      </font>
    </dxf>
    <dxf>
      <font>
        <name val="Aptos"/>
      </font>
    </dxf>
    <dxf>
      <font>
        <name val="Aptos"/>
      </font>
    </dxf>
    <dxf>
      <font>
        <name val="Aptos"/>
      </font>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ont>
        <name val="Aptos"/>
      </font>
    </dxf>
    <dxf>
      <font>
        <name val="Aptos"/>
      </font>
    </dxf>
    <dxf>
      <font>
        <name val="Aptos"/>
      </font>
    </dxf>
    <dxf>
      <font>
        <name val="Aptos"/>
      </font>
    </dxf>
    <dxf>
      <font>
        <name val="Aptos"/>
      </font>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ont>
        <name val="Aptos"/>
      </font>
    </dxf>
    <dxf>
      <font>
        <name val="Aptos"/>
      </font>
    </dxf>
    <dxf>
      <font>
        <name val="Aptos"/>
      </font>
    </dxf>
    <dxf>
      <font>
        <name val="Aptos"/>
      </font>
    </dxf>
    <dxf>
      <font>
        <name val="Aptos"/>
      </font>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ont>
        <name val="Aptos"/>
      </font>
    </dxf>
    <dxf>
      <font>
        <name val="Aptos"/>
      </font>
    </dxf>
    <dxf>
      <font>
        <name val="Aptos"/>
      </font>
    </dxf>
    <dxf>
      <font>
        <name val="Aptos"/>
      </font>
    </dxf>
    <dxf>
      <font>
        <name val="Aptos"/>
      </font>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ont>
        <name val="Aptos"/>
      </font>
    </dxf>
    <dxf>
      <font>
        <name val="Aptos"/>
      </font>
    </dxf>
    <dxf>
      <font>
        <name val="Aptos"/>
      </font>
    </dxf>
    <dxf>
      <font>
        <name val="Aptos"/>
      </font>
    </dxf>
    <dxf>
      <font>
        <name val="Aptos"/>
      </font>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ont>
        <name val="Aptos"/>
      </font>
    </dxf>
    <dxf>
      <font>
        <name val="Aptos"/>
      </font>
    </dxf>
    <dxf>
      <font>
        <name val="Aptos"/>
      </font>
    </dxf>
    <dxf>
      <font>
        <name val="Aptos"/>
      </font>
    </dxf>
    <dxf>
      <font>
        <name val="Aptos"/>
      </font>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ont>
        <name val="Aptos"/>
      </font>
    </dxf>
    <dxf>
      <font>
        <name val="Aptos"/>
      </font>
    </dxf>
    <dxf>
      <font>
        <name val="Aptos"/>
      </font>
    </dxf>
    <dxf>
      <font>
        <name val="Aptos"/>
      </font>
    </dxf>
    <dxf>
      <font>
        <name val="Aptos"/>
      </font>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ont>
        <name val="Aptos"/>
      </font>
    </dxf>
    <dxf>
      <font>
        <name val="Aptos"/>
      </font>
    </dxf>
    <dxf>
      <font>
        <name val="Aptos"/>
      </font>
    </dxf>
    <dxf>
      <font>
        <name val="Aptos"/>
      </font>
    </dxf>
    <dxf>
      <font>
        <name val="Aptos"/>
      </font>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ill>
        <patternFill patternType="solid">
          <fgColor indexed="64"/>
          <bgColor rgb="FFF7F9FC"/>
        </patternFill>
      </fill>
    </dxf>
    <dxf>
      <font>
        <name val="Aptos"/>
      </font>
    </dxf>
    <dxf>
      <font>
        <name val="Aptos"/>
      </font>
    </dxf>
    <dxf>
      <font>
        <name val="Aptos"/>
      </font>
    </dxf>
    <dxf>
      <font>
        <name val="Aptos"/>
      </font>
    </dxf>
    <dxf>
      <font>
        <name val="Aptos"/>
      </font>
    </dxf>
    <dxf>
      <font>
        <name val="Aptos"/>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17324D"/>
                </a:solidFill>
                <a:latin typeface="+mn-lt"/>
                <a:ea typeface="+mn-ea"/>
                <a:cs typeface="+mn-cs"/>
              </a:defRPr>
            </a:pPr>
            <a:r>
              <a:rPr lang="en-US"/>
              <a:t>Monthly Revenue Trend</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7324D"/>
              </a:solidFill>
              <a:latin typeface="+mn-lt"/>
              <a:ea typeface="+mn-ea"/>
              <a:cs typeface="+mn-cs"/>
            </a:defRPr>
          </a:pPr>
          <a:endParaRPr lang="en-US"/>
        </a:p>
      </c:txPr>
    </c:title>
    <c:autoTitleDeleted val="0"/>
    <c:plotArea>
      <c:layout/>
      <c:barChart>
        <c:barDir val="col"/>
        <c:grouping val="clustered"/>
        <c:varyColors val="0"/>
        <c:ser>
          <c:idx val="0"/>
          <c:order val="0"/>
          <c:tx>
            <c:strRef>
              <c:f>'Chart Data'!$B$1</c:f>
              <c:strCache>
                <c:ptCount val="1"/>
                <c:pt idx="0">
                  <c:v>Revenue USD</c:v>
                </c:pt>
              </c:strCache>
            </c:strRef>
          </c:tx>
          <c:spPr>
            <a:solidFill>
              <a:schemeClr val="accent1"/>
            </a:solidFill>
            <a:ln>
              <a:noFill/>
            </a:ln>
            <a:effectLst/>
          </c:spPr>
          <c:invertIfNegative val="0"/>
          <c:cat>
            <c:numRef>
              <c:f>'Chart Data'!$A$2:$A$10</c:f>
              <c:numCache>
                <c:formatCode>mmm\-yy</c:formatCode>
                <c:ptCount val="9"/>
                <c:pt idx="0">
                  <c:v>46023</c:v>
                </c:pt>
                <c:pt idx="1">
                  <c:v>46054</c:v>
                </c:pt>
                <c:pt idx="2">
                  <c:v>46082</c:v>
                </c:pt>
                <c:pt idx="3">
                  <c:v>46113</c:v>
                </c:pt>
                <c:pt idx="4">
                  <c:v>46143</c:v>
                </c:pt>
                <c:pt idx="5">
                  <c:v>46174</c:v>
                </c:pt>
                <c:pt idx="6">
                  <c:v>46204</c:v>
                </c:pt>
                <c:pt idx="7">
                  <c:v>46235</c:v>
                </c:pt>
                <c:pt idx="8">
                  <c:v>46266</c:v>
                </c:pt>
              </c:numCache>
            </c:numRef>
          </c:cat>
          <c:val>
            <c:numRef>
              <c:f>'Chart Data'!$B$2:$B$10</c:f>
              <c:numCache>
                <c:formatCode>"$"#,##0</c:formatCode>
                <c:ptCount val="9"/>
                <c:pt idx="0">
                  <c:v>536705</c:v>
                </c:pt>
                <c:pt idx="1">
                  <c:v>345177.5</c:v>
                </c:pt>
                <c:pt idx="2">
                  <c:v>306130</c:v>
                </c:pt>
                <c:pt idx="3">
                  <c:v>227642.5</c:v>
                </c:pt>
                <c:pt idx="4">
                  <c:v>486600</c:v>
                </c:pt>
                <c:pt idx="5">
                  <c:v>139867.5</c:v>
                </c:pt>
                <c:pt idx="6">
                  <c:v>514760</c:v>
                </c:pt>
                <c:pt idx="7">
                  <c:v>405595</c:v>
                </c:pt>
                <c:pt idx="8">
                  <c:v>273195</c:v>
                </c:pt>
              </c:numCache>
            </c:numRef>
          </c:val>
          <c:extLst>
            <c:ext xmlns:c16="http://schemas.microsoft.com/office/drawing/2014/chart" uri="{C3380CC4-5D6E-409C-BE32-E72D297353CC}">
              <c16:uniqueId val="{00000000-D460-43DC-9293-BCF0BE5E5D4C}"/>
            </c:ext>
          </c:extLst>
        </c:ser>
        <c:dLbls>
          <c:showLegendKey val="0"/>
          <c:showVal val="0"/>
          <c:showCatName val="0"/>
          <c:showSerName val="0"/>
          <c:showPercent val="0"/>
          <c:showBubbleSize val="0"/>
        </c:dLbls>
        <c:gapWidth val="219"/>
        <c:overlap val="-27"/>
        <c:axId val="1806285391"/>
        <c:axId val="123728"/>
      </c:barChart>
      <c:dateAx>
        <c:axId val="1806285391"/>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28"/>
        <c:crosses val="autoZero"/>
        <c:auto val="1"/>
        <c:lblOffset val="100"/>
        <c:baseTimeUnit val="months"/>
      </c:dateAx>
      <c:valAx>
        <c:axId val="123728"/>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285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17324D"/>
                </a:solidFill>
                <a:latin typeface="+mn-lt"/>
                <a:ea typeface="+mn-ea"/>
                <a:cs typeface="+mn-cs"/>
              </a:defRPr>
            </a:pPr>
            <a:r>
              <a:rPr lang="en-US"/>
              <a:t>Revenue by Region</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7324D"/>
              </a:solidFill>
              <a:latin typeface="+mn-lt"/>
              <a:ea typeface="+mn-ea"/>
              <a:cs typeface="+mn-cs"/>
            </a:defRPr>
          </a:pPr>
          <a:endParaRPr lang="en-US"/>
        </a:p>
      </c:txPr>
    </c:title>
    <c:autoTitleDeleted val="0"/>
    <c:plotArea>
      <c:layout/>
      <c:barChart>
        <c:barDir val="bar"/>
        <c:grouping val="clustered"/>
        <c:varyColors val="0"/>
        <c:ser>
          <c:idx val="0"/>
          <c:order val="0"/>
          <c:tx>
            <c:strRef>
              <c:f>'Chart Data'!$F$1</c:f>
              <c:strCache>
                <c:ptCount val="1"/>
                <c:pt idx="0">
                  <c:v>Revenue USD</c:v>
                </c:pt>
              </c:strCache>
            </c:strRef>
          </c:tx>
          <c:spPr>
            <a:solidFill>
              <a:schemeClr val="accent1"/>
            </a:solidFill>
            <a:ln>
              <a:noFill/>
            </a:ln>
            <a:effectLst/>
          </c:spPr>
          <c:invertIfNegative val="0"/>
          <c:cat>
            <c:strRef>
              <c:f>'Chart Data'!$E$2:$E$10</c:f>
              <c:strCache>
                <c:ptCount val="9"/>
                <c:pt idx="0">
                  <c:v>Southeast Asia</c:v>
                </c:pt>
                <c:pt idx="1">
                  <c:v>Greater China</c:v>
                </c:pt>
                <c:pt idx="2">
                  <c:v>Japan &amp; Korea</c:v>
                </c:pt>
                <c:pt idx="3">
                  <c:v>India</c:v>
                </c:pt>
                <c:pt idx="4">
                  <c:v>North America</c:v>
                </c:pt>
                <c:pt idx="5">
                  <c:v>Europe</c:v>
                </c:pt>
                <c:pt idx="6">
                  <c:v>GREATER CHINA</c:v>
                </c:pt>
                <c:pt idx="7">
                  <c:v>INDIA</c:v>
                </c:pt>
                <c:pt idx="8">
                  <c:v>EUROPE</c:v>
                </c:pt>
              </c:strCache>
            </c:strRef>
          </c:cat>
          <c:val>
            <c:numRef>
              <c:f>'Chart Data'!$F$2:$F$10</c:f>
              <c:numCache>
                <c:formatCode>"$"#,##0</c:formatCode>
                <c:ptCount val="9"/>
                <c:pt idx="0">
                  <c:v>811027.5</c:v>
                </c:pt>
                <c:pt idx="1">
                  <c:v>567277.5</c:v>
                </c:pt>
                <c:pt idx="2">
                  <c:v>531535</c:v>
                </c:pt>
                <c:pt idx="3">
                  <c:v>508972.5</c:v>
                </c:pt>
                <c:pt idx="4">
                  <c:v>418350</c:v>
                </c:pt>
                <c:pt idx="5">
                  <c:v>300085</c:v>
                </c:pt>
                <c:pt idx="6">
                  <c:v>49550</c:v>
                </c:pt>
                <c:pt idx="7">
                  <c:v>36675</c:v>
                </c:pt>
                <c:pt idx="8">
                  <c:v>12200</c:v>
                </c:pt>
              </c:numCache>
            </c:numRef>
          </c:val>
          <c:extLst>
            <c:ext xmlns:c16="http://schemas.microsoft.com/office/drawing/2014/chart" uri="{C3380CC4-5D6E-409C-BE32-E72D297353CC}">
              <c16:uniqueId val="{00000000-40DF-422B-B84F-8822A4D817A5}"/>
            </c:ext>
          </c:extLst>
        </c:ser>
        <c:dLbls>
          <c:showLegendKey val="0"/>
          <c:showVal val="0"/>
          <c:showCatName val="0"/>
          <c:showSerName val="0"/>
          <c:showPercent val="0"/>
          <c:showBubbleSize val="0"/>
        </c:dLbls>
        <c:gapWidth val="182"/>
        <c:axId val="1806239919"/>
        <c:axId val="121808"/>
      </c:barChart>
      <c:catAx>
        <c:axId val="1806239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08"/>
        <c:crosses val="autoZero"/>
        <c:auto val="1"/>
        <c:lblAlgn val="ctr"/>
        <c:lblOffset val="100"/>
        <c:noMultiLvlLbl val="0"/>
      </c:catAx>
      <c:valAx>
        <c:axId val="121808"/>
        <c:scaling>
          <c:orientation val="minMax"/>
          <c:min val="0"/>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239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17324D"/>
                </a:solidFill>
                <a:latin typeface="+mn-lt"/>
                <a:ea typeface="+mn-ea"/>
                <a:cs typeface="+mn-cs"/>
              </a:defRPr>
            </a:pPr>
            <a:r>
              <a:rPr lang="en-US"/>
              <a:t>Delivery Status Mix</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7324D"/>
              </a:solidFill>
              <a:latin typeface="+mn-lt"/>
              <a:ea typeface="+mn-ea"/>
              <a:cs typeface="+mn-cs"/>
            </a:defRPr>
          </a:pPr>
          <a:endParaRPr lang="en-US"/>
        </a:p>
      </c:txPr>
    </c:title>
    <c:autoTitleDeleted val="0"/>
    <c:plotArea>
      <c:layout/>
      <c:doughnutChart>
        <c:varyColors val="1"/>
        <c:ser>
          <c:idx val="0"/>
          <c:order val="0"/>
          <c:tx>
            <c:strRef>
              <c:f>'Chart Data'!$I$1</c:f>
              <c:strCache>
                <c:ptCount val="1"/>
                <c:pt idx="0">
                  <c:v>Orders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E01-4D06-ABBC-2CEA3E99AEA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E01-4D06-ABBC-2CEA3E99AEA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E01-4D06-ABBC-2CEA3E99AEA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E01-4D06-ABBC-2CEA3E99AEA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 Data'!$H$2:$H$5</c:f>
              <c:strCache>
                <c:ptCount val="4"/>
                <c:pt idx="0">
                  <c:v>On Time</c:v>
                </c:pt>
                <c:pt idx="1">
                  <c:v>At Risk</c:v>
                </c:pt>
                <c:pt idx="2">
                  <c:v>Delayed</c:v>
                </c:pt>
                <c:pt idx="3">
                  <c:v>on time</c:v>
                </c:pt>
              </c:strCache>
            </c:strRef>
          </c:cat>
          <c:val>
            <c:numRef>
              <c:f>'Chart Data'!$I$2:$I$5</c:f>
              <c:numCache>
                <c:formatCode>General</c:formatCode>
                <c:ptCount val="4"/>
                <c:pt idx="0">
                  <c:v>73</c:v>
                </c:pt>
                <c:pt idx="1">
                  <c:v>22</c:v>
                </c:pt>
                <c:pt idx="2">
                  <c:v>22</c:v>
                </c:pt>
                <c:pt idx="3">
                  <c:v>3</c:v>
                </c:pt>
              </c:numCache>
            </c:numRef>
          </c:val>
          <c:extLst>
            <c:ext xmlns:c16="http://schemas.microsoft.com/office/drawing/2014/chart" uri="{C3380CC4-5D6E-409C-BE32-E72D297353CC}">
              <c16:uniqueId val="{00000000-373D-4125-AEDC-5F74EB15683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17324D"/>
                </a:solidFill>
                <a:latin typeface="+mn-lt"/>
                <a:ea typeface="+mn-ea"/>
                <a:cs typeface="+mn-cs"/>
              </a:defRPr>
            </a:pPr>
            <a:r>
              <a:rPr lang="en-US"/>
              <a:t>Revenue by Business Segment</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7324D"/>
              </a:solidFill>
              <a:latin typeface="+mn-lt"/>
              <a:ea typeface="+mn-ea"/>
              <a:cs typeface="+mn-cs"/>
            </a:defRPr>
          </a:pPr>
          <a:endParaRPr lang="en-US"/>
        </a:p>
      </c:txPr>
    </c:title>
    <c:autoTitleDeleted val="0"/>
    <c:plotArea>
      <c:layout/>
      <c:barChart>
        <c:barDir val="bar"/>
        <c:grouping val="clustered"/>
        <c:varyColors val="0"/>
        <c:ser>
          <c:idx val="0"/>
          <c:order val="0"/>
          <c:tx>
            <c:strRef>
              <c:f>'Chart Data'!$L$1</c:f>
              <c:strCache>
                <c:ptCount val="1"/>
                <c:pt idx="0">
                  <c:v>Revenue USD</c:v>
                </c:pt>
              </c:strCache>
            </c:strRef>
          </c:tx>
          <c:spPr>
            <a:solidFill>
              <a:schemeClr val="accent1"/>
            </a:solidFill>
            <a:ln>
              <a:noFill/>
            </a:ln>
            <a:effectLst/>
          </c:spPr>
          <c:invertIfNegative val="0"/>
          <c:cat>
            <c:strRef>
              <c:f>'Chart Data'!$K$2:$K$9</c:f>
              <c:strCache>
                <c:ptCount val="8"/>
                <c:pt idx="0">
                  <c:v>Healthcare</c:v>
                </c:pt>
                <c:pt idx="1">
                  <c:v>Transportation</c:v>
                </c:pt>
                <c:pt idx="2">
                  <c:v>Building &amp; Construction</c:v>
                </c:pt>
                <c:pt idx="3">
                  <c:v>Energy &amp; Resources</c:v>
                </c:pt>
                <c:pt idx="4">
                  <c:v>Electronics &amp; IT</c:v>
                </c:pt>
                <c:pt idx="5">
                  <c:v>Beauty &amp; Personal Care</c:v>
                </c:pt>
                <c:pt idx="6">
                  <c:v>Industrial</c:v>
                </c:pt>
                <c:pt idx="7">
                  <c:v>Coatings</c:v>
                </c:pt>
              </c:strCache>
            </c:strRef>
          </c:cat>
          <c:val>
            <c:numRef>
              <c:f>'Chart Data'!$L$2:$L$9</c:f>
              <c:numCache>
                <c:formatCode>"$"#,##0</c:formatCode>
                <c:ptCount val="8"/>
                <c:pt idx="0">
                  <c:v>626840</c:v>
                </c:pt>
                <c:pt idx="1">
                  <c:v>516945</c:v>
                </c:pt>
                <c:pt idx="2">
                  <c:v>474060</c:v>
                </c:pt>
                <c:pt idx="3">
                  <c:v>406015</c:v>
                </c:pt>
                <c:pt idx="4">
                  <c:v>377685</c:v>
                </c:pt>
                <c:pt idx="5">
                  <c:v>339230</c:v>
                </c:pt>
                <c:pt idx="6">
                  <c:v>318512.5</c:v>
                </c:pt>
                <c:pt idx="7">
                  <c:v>176385</c:v>
                </c:pt>
              </c:numCache>
            </c:numRef>
          </c:val>
          <c:extLst>
            <c:ext xmlns:c16="http://schemas.microsoft.com/office/drawing/2014/chart" uri="{C3380CC4-5D6E-409C-BE32-E72D297353CC}">
              <c16:uniqueId val="{00000000-9BD1-4B84-99EE-EB3B2F387963}"/>
            </c:ext>
          </c:extLst>
        </c:ser>
        <c:dLbls>
          <c:showLegendKey val="0"/>
          <c:showVal val="0"/>
          <c:showCatName val="0"/>
          <c:showSerName val="0"/>
          <c:showPercent val="0"/>
          <c:showBubbleSize val="0"/>
        </c:dLbls>
        <c:gapWidth val="182"/>
        <c:axId val="1807299631"/>
        <c:axId val="133328"/>
      </c:barChart>
      <c:catAx>
        <c:axId val="1807299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28"/>
        <c:crosses val="autoZero"/>
        <c:auto val="1"/>
        <c:lblAlgn val="ctr"/>
        <c:lblOffset val="100"/>
        <c:noMultiLvlLbl val="0"/>
      </c:catAx>
      <c:valAx>
        <c:axId val="133328"/>
        <c:scaling>
          <c:orientation val="minMax"/>
          <c:min val="0"/>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7299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[Lubrizol_Copilot_in_Excel_Demo.xlsx]Pivot Dashboard!OrdersPivot</c:name>
    <c:fmtId val="1"/>
  </c:pivotSource>
  <c:chart>
    <c:title>
      <c:tx>
        <c:rich>
          <a:bodyPr rot="0" spcFirstLastPara="1" vertOverflow="ellipsis" vert="horz" wrap="square" anchor="ctr" anchorCtr="1"/>
          <a:lstStyle/>
          <a:p>
            <a:pPr>
              <a:defRPr sz="1400" b="0" i="0" u="none" strike="noStrike" kern="1200" spc="0" baseline="0">
                <a:solidFill>
                  <a:srgbClr val="17365D"/>
                </a:solidFill>
                <a:latin typeface="+mn-lt"/>
                <a:ea typeface="+mn-ea"/>
                <a:cs typeface="+mn-cs"/>
              </a:defRPr>
            </a:pPr>
            <a:r>
              <a:rPr lang="en-US"/>
              <a:t>Filtered 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17365D"/>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Dashboard'!$B$10</c:f>
              <c:strCache>
                <c:ptCount val="1"/>
                <c:pt idx="0">
                  <c:v>Total</c:v>
                </c:pt>
              </c:strCache>
            </c:strRef>
          </c:tx>
          <c:spPr>
            <a:solidFill>
              <a:schemeClr val="accent1"/>
            </a:solidFill>
            <a:ln>
              <a:noFill/>
            </a:ln>
            <a:effectLst/>
          </c:spPr>
          <c:invertIfNegative val="0"/>
          <c:dLbls>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Dashboard'!$A$11:$A$16</c:f>
              <c:strCache>
                <c:ptCount val="6"/>
                <c:pt idx="0">
                  <c:v>Europe</c:v>
                </c:pt>
                <c:pt idx="1">
                  <c:v>Greater China</c:v>
                </c:pt>
                <c:pt idx="2">
                  <c:v>India</c:v>
                </c:pt>
                <c:pt idx="3">
                  <c:v>Japan &amp; Korea</c:v>
                </c:pt>
                <c:pt idx="4">
                  <c:v>North America</c:v>
                </c:pt>
                <c:pt idx="5">
                  <c:v>Southeast Asia</c:v>
                </c:pt>
              </c:strCache>
            </c:strRef>
          </c:cat>
          <c:val>
            <c:numRef>
              <c:f>'Pivot Dashboard'!$B$11:$B$16</c:f>
              <c:numCache>
                <c:formatCode>"$"#,##0</c:formatCode>
                <c:ptCount val="6"/>
                <c:pt idx="0">
                  <c:v>312285</c:v>
                </c:pt>
                <c:pt idx="1">
                  <c:v>616827.5</c:v>
                </c:pt>
                <c:pt idx="2">
                  <c:v>545647.5</c:v>
                </c:pt>
                <c:pt idx="3">
                  <c:v>531535</c:v>
                </c:pt>
                <c:pt idx="4">
                  <c:v>418350</c:v>
                </c:pt>
                <c:pt idx="5">
                  <c:v>811027.5</c:v>
                </c:pt>
              </c:numCache>
            </c:numRef>
          </c:val>
          <c:extLst>
            <c:ext xmlns:c16="http://schemas.microsoft.com/office/drawing/2014/chart" uri="{C3380CC4-5D6E-409C-BE32-E72D297353CC}">
              <c16:uniqueId val="{00000000-550D-431A-A41E-74F6A8BECDF8}"/>
            </c:ext>
          </c:extLst>
        </c:ser>
        <c:dLbls>
          <c:showLegendKey val="0"/>
          <c:showVal val="0"/>
          <c:showCatName val="0"/>
          <c:showSerName val="0"/>
          <c:showPercent val="0"/>
          <c:showBubbleSize val="0"/>
        </c:dLbls>
        <c:gapWidth val="182"/>
        <c:axId val="483670624"/>
        <c:axId val="1471690704"/>
      </c:barChart>
      <c:catAx>
        <c:axId val="483670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690704"/>
        <c:crosses val="autoZero"/>
        <c:auto val="1"/>
        <c:lblAlgn val="ctr"/>
        <c:lblOffset val="100"/>
        <c:noMultiLvlLbl val="0"/>
      </c:catAx>
      <c:valAx>
        <c:axId val="1471690704"/>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670624"/>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solidFill>
          <a:srgbClr val="FFFF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17324D"/>
                </a:solidFill>
                <a:latin typeface="+mn-lt"/>
                <a:ea typeface="+mn-ea"/>
                <a:cs typeface="+mn-cs"/>
              </a:defRPr>
            </a:pPr>
            <a:r>
              <a:rPr lang="en-US"/>
              <a:t>Average Lead Time: Actual and Forecast</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17324D"/>
              </a:solidFill>
              <a:latin typeface="+mn-lt"/>
              <a:ea typeface="+mn-ea"/>
              <a:cs typeface="+mn-cs"/>
            </a:defRPr>
          </a:pPr>
          <a:endParaRPr lang="en-US"/>
        </a:p>
      </c:txPr>
    </c:title>
    <c:autoTitleDeleted val="0"/>
    <c:plotArea>
      <c:layout/>
      <c:lineChart>
        <c:grouping val="standard"/>
        <c:varyColors val="0"/>
        <c:ser>
          <c:idx val="0"/>
          <c:order val="0"/>
          <c:tx>
            <c:strRef>
              <c:f>'3-Month Forecast'!$B$16</c:f>
              <c:strCache>
                <c:ptCount val="1"/>
                <c:pt idx="0">
                  <c:v>Avg Lead Time Days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'3-Month Forecast'!$A$17:$A$29</c:f>
              <c:numCache>
                <c:formatCode>mmm\-yy</c:formatCode>
                <c:ptCount val="13"/>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numCache>
            </c:numRef>
          </c:cat>
          <c:val>
            <c:numRef>
              <c:f>'3-Month Forecast'!$B$17:$B$29</c:f>
              <c:numCache>
                <c:formatCode>0.0</c:formatCode>
                <c:ptCount val="13"/>
                <c:pt idx="0">
                  <c:v>25.952380952380953</c:v>
                </c:pt>
                <c:pt idx="1">
                  <c:v>29.125</c:v>
                </c:pt>
                <c:pt idx="2">
                  <c:v>17.846153846153847</c:v>
                </c:pt>
                <c:pt idx="3">
                  <c:v>26</c:v>
                </c:pt>
                <c:pt idx="4">
                  <c:v>23.714285714285715</c:v>
                </c:pt>
                <c:pt idx="5">
                  <c:v>23.125</c:v>
                </c:pt>
                <c:pt idx="6">
                  <c:v>25.23076923076923</c:v>
                </c:pt>
                <c:pt idx="7">
                  <c:v>27.352941176470587</c:v>
                </c:pt>
                <c:pt idx="8">
                  <c:v>25</c:v>
                </c:pt>
                <c:pt idx="9">
                  <c:v>25.046992087433264</c:v>
                </c:pt>
                <c:pt idx="10">
                  <c:v>25.093134262251908</c:v>
                </c:pt>
                <c:pt idx="11">
                  <c:v>25.139276437070553</c:v>
                </c:pt>
                <c:pt idx="12">
                  <c:v>25.185418611889201</c:v>
                </c:pt>
              </c:numCache>
            </c:numRef>
          </c:val>
          <c:smooth val="0"/>
          <c:extLst>
            <c:ext xmlns:c16="http://schemas.microsoft.com/office/drawing/2014/chart" uri="{C3380CC4-5D6E-409C-BE32-E72D297353CC}">
              <c16:uniqueId val="{00000000-2C16-49AF-8901-0CF67F69E6A9}"/>
            </c:ext>
          </c:extLst>
        </c:ser>
        <c:dLbls>
          <c:showLegendKey val="0"/>
          <c:showVal val="0"/>
          <c:showCatName val="0"/>
          <c:showSerName val="0"/>
          <c:showPercent val="0"/>
          <c:showBubbleSize val="0"/>
        </c:dLbls>
        <c:marker val="1"/>
        <c:smooth val="0"/>
        <c:axId val="234452336"/>
        <c:axId val="1471582224"/>
      </c:lineChart>
      <c:dateAx>
        <c:axId val="234452336"/>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582224"/>
        <c:crosses val="autoZero"/>
        <c:auto val="1"/>
        <c:lblOffset val="100"/>
        <c:baseTimeUnit val="months"/>
      </c:dateAx>
      <c:valAx>
        <c:axId val="1471582224"/>
        <c:scaling>
          <c:orientation val="minMax"/>
          <c:max val="32"/>
          <c:min val="15"/>
        </c:scaling>
        <c:delete val="0"/>
        <c:axPos val="l"/>
        <c:majorGridlines>
          <c:spPr>
            <a:ln w="9525" cap="flat" cmpd="sng" algn="ctr">
              <a:solidFill>
                <a:srgbClr val="D9E2E8"/>
              </a:solidFill>
              <a:prstDash val="solid"/>
              <a:round/>
              <a:headEnd type="none" w="med" len="med"/>
              <a:tailEnd type="none" w="med" len="me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452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17324D"/>
                </a:solidFill>
                <a:latin typeface="+mn-lt"/>
                <a:ea typeface="+mn-ea"/>
                <a:cs typeface="+mn-cs"/>
              </a:defRPr>
            </a:pPr>
            <a:r>
              <a:rPr lang="en-US"/>
              <a:t>Delayed / At-Risk Probability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17324D"/>
              </a:solidFill>
              <a:latin typeface="+mn-lt"/>
              <a:ea typeface="+mn-ea"/>
              <a:cs typeface="+mn-cs"/>
            </a:defRPr>
          </a:pPr>
          <a:endParaRPr lang="en-US"/>
        </a:p>
      </c:txPr>
    </c:title>
    <c:autoTitleDeleted val="0"/>
    <c:plotArea>
      <c:layout/>
      <c:lineChart>
        <c:grouping val="standard"/>
        <c:varyColors val="0"/>
        <c:ser>
          <c:idx val="1"/>
          <c:order val="0"/>
          <c:tx>
            <c:strRef>
              <c:f>'3-Month Forecast'!$C$16</c:f>
              <c:strCache>
                <c:ptCount val="1"/>
                <c:pt idx="0">
                  <c:v>Delayed / At-Risk Probability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'3-Month Forecast'!$A$17:$A$29</c:f>
              <c:numCache>
                <c:formatCode>mmm\-yy</c:formatCode>
                <c:ptCount val="13"/>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numCache>
            </c:numRef>
          </c:cat>
          <c:val>
            <c:numRef>
              <c:f>'3-Month Forecast'!$C$17:$C$29</c:f>
              <c:numCache>
                <c:formatCode>0.0%</c:formatCode>
                <c:ptCount val="13"/>
                <c:pt idx="0">
                  <c:v>0.42857142857142855</c:v>
                </c:pt>
                <c:pt idx="1">
                  <c:v>0.25</c:v>
                </c:pt>
                <c:pt idx="2">
                  <c:v>0.38461538461538464</c:v>
                </c:pt>
                <c:pt idx="3">
                  <c:v>0.5</c:v>
                </c:pt>
                <c:pt idx="4">
                  <c:v>0.35714285714285715</c:v>
                </c:pt>
                <c:pt idx="5">
                  <c:v>0.375</c:v>
                </c:pt>
                <c:pt idx="6">
                  <c:v>0.53846153846153844</c:v>
                </c:pt>
                <c:pt idx="7">
                  <c:v>0.23529411764705882</c:v>
                </c:pt>
                <c:pt idx="8">
                  <c:v>0.33333333333333331</c:v>
                </c:pt>
                <c:pt idx="9">
                  <c:v>0.35784837439249206</c:v>
                </c:pt>
                <c:pt idx="10">
                  <c:v>0.35380874572051046</c:v>
                </c:pt>
                <c:pt idx="11">
                  <c:v>0.34976911704852887</c:v>
                </c:pt>
                <c:pt idx="12">
                  <c:v>0.34572948837654721</c:v>
                </c:pt>
              </c:numCache>
            </c:numRef>
          </c:val>
          <c:smooth val="0"/>
          <c:extLst>
            <c:ext xmlns:c16="http://schemas.microsoft.com/office/drawing/2014/chart" uri="{C3380CC4-5D6E-409C-BE32-E72D297353CC}">
              <c16:uniqueId val="{00000001-87B5-4068-97BE-4C6C59F8CB27}"/>
            </c:ext>
          </c:extLst>
        </c:ser>
        <c:dLbls>
          <c:showLegendKey val="0"/>
          <c:showVal val="0"/>
          <c:showCatName val="0"/>
          <c:showSerName val="0"/>
          <c:showPercent val="0"/>
          <c:showBubbleSize val="0"/>
        </c:dLbls>
        <c:marker val="1"/>
        <c:smooth val="0"/>
        <c:axId val="234517296"/>
        <c:axId val="1471621104"/>
      </c:lineChart>
      <c:dateAx>
        <c:axId val="234517296"/>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621104"/>
        <c:crosses val="autoZero"/>
        <c:auto val="1"/>
        <c:lblOffset val="100"/>
        <c:baseTimeUnit val="months"/>
      </c:dateAx>
      <c:valAx>
        <c:axId val="1471621104"/>
        <c:scaling>
          <c:orientation val="minMax"/>
          <c:max val="0.6"/>
          <c:min val="0"/>
        </c:scaling>
        <c:delete val="0"/>
        <c:axPos val="l"/>
        <c:majorGridlines>
          <c:spPr>
            <a:ln w="9525" cap="flat" cmpd="sng" algn="ctr">
              <a:solidFill>
                <a:srgbClr val="D9E2E8"/>
              </a:solidFill>
              <a:prstDash val="solid"/>
              <a:round/>
              <a:headEnd type="none" w="med" len="med"/>
              <a:tailEnd type="none" w="med" len="me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517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0</xdr:rowOff>
    </xdr:from>
    <xdr:to>
      <xdr:col>6</xdr:col>
      <xdr:colOff>0</xdr:colOff>
      <xdr:row>24</xdr:row>
      <xdr:rowOff>0</xdr:rowOff>
    </xdr:to>
    <xdr:graphicFrame macro="">
      <xdr:nvGraphicFramePr>
        <xdr:cNvPr id="2" name="Monthly Revenue Trend">
          <a:extLst>
            <a:ext uri="{FF2B5EF4-FFF2-40B4-BE49-F238E27FC236}">
              <a16:creationId xmlns:a16="http://schemas.microsoft.com/office/drawing/2014/main" id="{45F45A57-CAAB-1C22-2B35-91DD7C705D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xdr:row>
      <xdr:rowOff>0</xdr:rowOff>
    </xdr:from>
    <xdr:to>
      <xdr:col>12</xdr:col>
      <xdr:colOff>0</xdr:colOff>
      <xdr:row>24</xdr:row>
      <xdr:rowOff>0</xdr:rowOff>
    </xdr:to>
    <xdr:graphicFrame macro="">
      <xdr:nvGraphicFramePr>
        <xdr:cNvPr id="3" name="Revenue by Region">
          <a:extLst>
            <a:ext uri="{FF2B5EF4-FFF2-40B4-BE49-F238E27FC236}">
              <a16:creationId xmlns:a16="http://schemas.microsoft.com/office/drawing/2014/main" id="{7E85408D-2599-16AD-5C0E-DB405D27F9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25</xdr:row>
      <xdr:rowOff>0</xdr:rowOff>
    </xdr:from>
    <xdr:to>
      <xdr:col>6</xdr:col>
      <xdr:colOff>0</xdr:colOff>
      <xdr:row>40</xdr:row>
      <xdr:rowOff>0</xdr:rowOff>
    </xdr:to>
    <xdr:graphicFrame macro="">
      <xdr:nvGraphicFramePr>
        <xdr:cNvPr id="4" name="Delivery Status Mix">
          <a:extLst>
            <a:ext uri="{FF2B5EF4-FFF2-40B4-BE49-F238E27FC236}">
              <a16:creationId xmlns:a16="http://schemas.microsoft.com/office/drawing/2014/main" id="{059537F3-03F7-EA1C-61C7-69612EA60D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25</xdr:row>
      <xdr:rowOff>0</xdr:rowOff>
    </xdr:from>
    <xdr:to>
      <xdr:col>12</xdr:col>
      <xdr:colOff>0</xdr:colOff>
      <xdr:row>40</xdr:row>
      <xdr:rowOff>0</xdr:rowOff>
    </xdr:to>
    <xdr:graphicFrame macro="">
      <xdr:nvGraphicFramePr>
        <xdr:cNvPr id="5" name="Revenue by Segment">
          <a:extLst>
            <a:ext uri="{FF2B5EF4-FFF2-40B4-BE49-F238E27FC236}">
              <a16:creationId xmlns:a16="http://schemas.microsoft.com/office/drawing/2014/main" id="{0B55BF4D-BA43-B8B5-DD9D-1619469592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9</xdr:row>
      <xdr:rowOff>0</xdr:rowOff>
    </xdr:from>
    <xdr:to>
      <xdr:col>12</xdr:col>
      <xdr:colOff>0</xdr:colOff>
      <xdr:row>28</xdr:row>
      <xdr:rowOff>0</xdr:rowOff>
    </xdr:to>
    <xdr:graphicFrame macro="">
      <xdr:nvGraphicFramePr>
        <xdr:cNvPr id="3" name="Filtered Revenue by Region">
          <a:extLst>
            <a:ext uri="{FF2B5EF4-FFF2-40B4-BE49-F238E27FC236}">
              <a16:creationId xmlns:a16="http://schemas.microsoft.com/office/drawing/2014/main" id="{CADA1F18-43C5-8E10-98E9-49C2DD7C38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190500</xdr:colOff>
      <xdr:row>2</xdr:row>
      <xdr:rowOff>53975</xdr:rowOff>
    </xdr:from>
    <xdr:to>
      <xdr:col>2</xdr:col>
      <xdr:colOff>136525</xdr:colOff>
      <xdr:row>8</xdr:row>
      <xdr:rowOff>31750</xdr:rowOff>
    </xdr:to>
    <mc:AlternateContent xmlns:mc="http://schemas.openxmlformats.org/markup-compatibility/2006">
      <mc:Choice xmlns:a14="http://schemas.microsoft.com/office/drawing/2010/main" Requires="a14">
        <xdr:graphicFrame macro="">
          <xdr:nvGraphicFramePr>
            <xdr:cNvPr id="4" name="Region Slicer">
              <a:extLst>
                <a:ext uri="{FF2B5EF4-FFF2-40B4-BE49-F238E27FC236}">
                  <a16:creationId xmlns:a16="http://schemas.microsoft.com/office/drawing/2014/main" id="{81711A98-D156-A8B4-15D3-2D09F727C276}"/>
                </a:ext>
              </a:extLst>
            </xdr:cNvPr>
            <xdr:cNvGraphicFramePr/>
          </xdr:nvGraphicFramePr>
          <xdr:xfrm>
            <a:off x="0" y="0"/>
            <a:ext cx="0" cy="0"/>
          </xdr:xfrm>
          <a:graphic>
            <a:graphicData uri="http://schemas.microsoft.com/office/drawing/2010/slicer">
              <sle:slicer xmlns:sle="http://schemas.microsoft.com/office/drawing/2010/slicer" name="Region Slicer"/>
            </a:graphicData>
          </a:graphic>
        </xdr:graphicFrame>
      </mc:Choice>
      <mc:Fallback>
        <xdr:sp macro="" textlink="">
          <xdr:nvSpPr>
            <xdr:cNvPr id="0" name=""/>
            <xdr:cNvSpPr>
              <a:spLocks noTextEdit="1"/>
            </xdr:cNvSpPr>
          </xdr:nvSpPr>
          <xdr:spPr>
            <a:xfrm>
              <a:off x="190500" y="787400"/>
              <a:ext cx="1841500" cy="1206500"/>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98425</xdr:colOff>
      <xdr:row>2</xdr:row>
      <xdr:rowOff>53975</xdr:rowOff>
    </xdr:from>
    <xdr:to>
      <xdr:col>5</xdr:col>
      <xdr:colOff>796925</xdr:colOff>
      <xdr:row>8</xdr:row>
      <xdr:rowOff>31750</xdr:rowOff>
    </xdr:to>
    <mc:AlternateContent xmlns:mc="http://schemas.openxmlformats.org/markup-compatibility/2006">
      <mc:Choice xmlns:a14="http://schemas.microsoft.com/office/drawing/2010/main" Requires="a14">
        <xdr:graphicFrame macro="">
          <xdr:nvGraphicFramePr>
            <xdr:cNvPr id="5" name="Business Segment Slicer">
              <a:extLst>
                <a:ext uri="{FF2B5EF4-FFF2-40B4-BE49-F238E27FC236}">
                  <a16:creationId xmlns:a16="http://schemas.microsoft.com/office/drawing/2014/main" id="{6190DE1B-CAD6-6F02-4ACE-434FFCE16EEF}"/>
                </a:ext>
              </a:extLst>
            </xdr:cNvPr>
            <xdr:cNvGraphicFramePr/>
          </xdr:nvGraphicFramePr>
          <xdr:xfrm>
            <a:off x="0" y="0"/>
            <a:ext cx="0" cy="0"/>
          </xdr:xfrm>
          <a:graphic>
            <a:graphicData uri="http://schemas.microsoft.com/office/drawing/2010/slicer">
              <sle:slicer xmlns:sle="http://schemas.microsoft.com/office/drawing/2010/slicer" name="Business Segment Slicer"/>
            </a:graphicData>
          </a:graphic>
        </xdr:graphicFrame>
      </mc:Choice>
      <mc:Fallback>
        <xdr:sp macro="" textlink="">
          <xdr:nvSpPr>
            <xdr:cNvPr id="0" name=""/>
            <xdr:cNvSpPr>
              <a:spLocks noTextEdit="1"/>
            </xdr:cNvSpPr>
          </xdr:nvSpPr>
          <xdr:spPr>
            <a:xfrm>
              <a:off x="2222500" y="787400"/>
              <a:ext cx="1841500" cy="1206500"/>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73025</xdr:colOff>
      <xdr:row>2</xdr:row>
      <xdr:rowOff>53975</xdr:rowOff>
    </xdr:from>
    <xdr:to>
      <xdr:col>8</xdr:col>
      <xdr:colOff>85725</xdr:colOff>
      <xdr:row>8</xdr:row>
      <xdr:rowOff>31750</xdr:rowOff>
    </xdr:to>
    <mc:AlternateContent xmlns:mc="http://schemas.openxmlformats.org/markup-compatibility/2006">
      <mc:Choice xmlns:a14="http://schemas.microsoft.com/office/drawing/2010/main" Requires="a14">
        <xdr:graphicFrame macro="">
          <xdr:nvGraphicFramePr>
            <xdr:cNvPr id="6" name="Plant Slicer">
              <a:extLst>
                <a:ext uri="{FF2B5EF4-FFF2-40B4-BE49-F238E27FC236}">
                  <a16:creationId xmlns:a16="http://schemas.microsoft.com/office/drawing/2014/main" id="{7AFB45EC-C631-7CCE-D87D-5876E34E92CA}"/>
                </a:ext>
              </a:extLst>
            </xdr:cNvPr>
            <xdr:cNvGraphicFramePr/>
          </xdr:nvGraphicFramePr>
          <xdr:xfrm>
            <a:off x="0" y="0"/>
            <a:ext cx="0" cy="0"/>
          </xdr:xfrm>
          <a:graphic>
            <a:graphicData uri="http://schemas.microsoft.com/office/drawing/2010/slicer">
              <sle:slicer xmlns:sle="http://schemas.microsoft.com/office/drawing/2010/slicer" name="Plant Slicer"/>
            </a:graphicData>
          </a:graphic>
        </xdr:graphicFrame>
      </mc:Choice>
      <mc:Fallback>
        <xdr:sp macro="" textlink="">
          <xdr:nvSpPr>
            <xdr:cNvPr id="0" name=""/>
            <xdr:cNvSpPr>
              <a:spLocks noTextEdit="1"/>
            </xdr:cNvSpPr>
          </xdr:nvSpPr>
          <xdr:spPr>
            <a:xfrm>
              <a:off x="4254500" y="787400"/>
              <a:ext cx="1841500" cy="1206500"/>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276225</xdr:colOff>
      <xdr:row>2</xdr:row>
      <xdr:rowOff>53975</xdr:rowOff>
    </xdr:from>
    <xdr:to>
      <xdr:col>10</xdr:col>
      <xdr:colOff>288925</xdr:colOff>
      <xdr:row>8</xdr:row>
      <xdr:rowOff>31750</xdr:rowOff>
    </xdr:to>
    <mc:AlternateContent xmlns:mc="http://schemas.openxmlformats.org/markup-compatibility/2006">
      <mc:Choice xmlns:a14="http://schemas.microsoft.com/office/drawing/2010/main" Requires="a14">
        <xdr:graphicFrame macro="">
          <xdr:nvGraphicFramePr>
            <xdr:cNvPr id="7" name="Delivery Status Slicer">
              <a:extLst>
                <a:ext uri="{FF2B5EF4-FFF2-40B4-BE49-F238E27FC236}">
                  <a16:creationId xmlns:a16="http://schemas.microsoft.com/office/drawing/2014/main" id="{E23A74EC-2B06-6F79-8CDF-8BCE42154A53}"/>
                </a:ext>
              </a:extLst>
            </xdr:cNvPr>
            <xdr:cNvGraphicFramePr/>
          </xdr:nvGraphicFramePr>
          <xdr:xfrm>
            <a:off x="0" y="0"/>
            <a:ext cx="0" cy="0"/>
          </xdr:xfrm>
          <a:graphic>
            <a:graphicData uri="http://schemas.microsoft.com/office/drawing/2010/slicer">
              <sle:slicer xmlns:sle="http://schemas.microsoft.com/office/drawing/2010/slicer" name="Delivery Status Slicer"/>
            </a:graphicData>
          </a:graphic>
        </xdr:graphicFrame>
      </mc:Choice>
      <mc:Fallback>
        <xdr:sp macro="" textlink="">
          <xdr:nvSpPr>
            <xdr:cNvPr id="0" name=""/>
            <xdr:cNvSpPr>
              <a:spLocks noTextEdit="1"/>
            </xdr:cNvSpPr>
          </xdr:nvSpPr>
          <xdr:spPr>
            <a:xfrm>
              <a:off x="6286500" y="787400"/>
              <a:ext cx="1841500" cy="1206500"/>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9</xdr:row>
      <xdr:rowOff>0</xdr:rowOff>
    </xdr:from>
    <xdr:to>
      <xdr:col>12</xdr:col>
      <xdr:colOff>0</xdr:colOff>
      <xdr:row>21</xdr:row>
      <xdr:rowOff>0</xdr:rowOff>
    </xdr:to>
    <xdr:graphicFrame macro="">
      <xdr:nvGraphicFramePr>
        <xdr:cNvPr id="2" name="Lead Time Trend and Forecast">
          <a:extLst>
            <a:ext uri="{FF2B5EF4-FFF2-40B4-BE49-F238E27FC236}">
              <a16:creationId xmlns:a16="http://schemas.microsoft.com/office/drawing/2014/main" id="{1E68A174-D130-218C-DBA5-72CFB9C905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22</xdr:row>
      <xdr:rowOff>0</xdr:rowOff>
    </xdr:from>
    <xdr:to>
      <xdr:col>12</xdr:col>
      <xdr:colOff>0</xdr:colOff>
      <xdr:row>35</xdr:row>
      <xdr:rowOff>0</xdr:rowOff>
    </xdr:to>
    <xdr:graphicFrame macro="">
      <xdr:nvGraphicFramePr>
        <xdr:cNvPr id="3" name="Order Risk Trend and Forecast">
          <a:extLst>
            <a:ext uri="{FF2B5EF4-FFF2-40B4-BE49-F238E27FC236}">
              <a16:creationId xmlns:a16="http://schemas.microsoft.com/office/drawing/2014/main" id="{92948703-FBD6-4D33-0A25-F55B08338D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ng Wei" refreshedDate="46316.951915277779" createdVersion="8" refreshedVersion="8" minRefreshableVersion="3" recordCount="120" xr:uid="{19F53B84-C682-408F-AEB8-07F5D1858ACF}">
  <cacheSource type="worksheet">
    <worksheetSource name="RawOrders"/>
  </cacheSource>
  <cacheFields count="17">
    <cacheField name="Order ID" numFmtId="0">
      <sharedItems/>
    </cacheField>
    <cacheField name="Order Date" numFmtId="164">
      <sharedItems containsSemiMixedTypes="0" containsNonDate="0" containsDate="1" containsString="0" minDate="2026-01-02T00:00:00" maxDate="2026-09-27T00:00:00"/>
    </cacheField>
    <cacheField name="Region" numFmtId="0">
      <sharedItems count="6">
        <s v="Europe"/>
        <s v="Greater China"/>
        <s v="Japan &amp; Korea"/>
        <s v="Southeast Asia"/>
        <s v="India"/>
        <s v="North America"/>
      </sharedItems>
    </cacheField>
    <cacheField name="Customer" numFmtId="0">
      <sharedItems/>
    </cacheField>
    <cacheField name="Product Code" numFmtId="0">
      <sharedItems/>
    </cacheField>
    <cacheField name="Business Segment" numFmtId="0">
      <sharedItems count="8">
        <s v="Industrial"/>
        <s v="Beauty &amp; Personal Care"/>
        <s v="Healthcare"/>
        <s v="Coatings"/>
        <s v="Building &amp; Construction"/>
        <s v="Electronics &amp; IT"/>
        <s v="Energy &amp; Resources"/>
        <s v="Transportation"/>
      </sharedItems>
    </cacheField>
    <cacheField name="Product Description" numFmtId="0">
      <sharedItems/>
    </cacheField>
    <cacheField name="Plant" numFmtId="0">
      <sharedItems count="5">
        <s v="Songjiang"/>
        <s v="Rouen"/>
        <s v="Dahej"/>
        <s v="Jurong"/>
        <s v="Painesville"/>
      </sharedItems>
    </cacheField>
    <cacheField name="Quantity kg" numFmtId="4">
      <sharedItems containsSemiMixedTypes="0" containsString="0" containsNumber="1" containsInteger="1" minValue="500" maxValue="3000"/>
    </cacheField>
    <cacheField name="Unit Price USD" numFmtId="4">
      <sharedItems containsSemiMixedTypes="0" containsString="0" containsNumber="1" minValue="6.89" maxValue="27.99"/>
    </cacheField>
    <cacheField name="Revenue USD" numFmtId="4">
      <sharedItems containsSemiMixedTypes="0" containsString="0" containsNumber="1" minValue="5880" maxValue="77820"/>
    </cacheField>
    <cacheField name="Quality Score" numFmtId="0">
      <sharedItems containsString="0" containsBlank="1" containsNumber="1" minValue="78.3" maxValue="99.2"/>
    </cacheField>
    <cacheField name="Delivery Status" numFmtId="0">
      <sharedItems count="3">
        <s v="At Risk"/>
        <s v="Delayed"/>
        <s v="On Time"/>
      </sharedItems>
    </cacheField>
    <cacheField name="Lead Time Days" numFmtId="0">
      <sharedItems containsSemiMixedTypes="0" containsString="0" containsNumber="1" containsInteger="1" minValue="8" maxValue="42"/>
    </cacheField>
    <cacheField name="CO2e kg" numFmtId="0">
      <sharedItems containsSemiMixedTypes="0" containsString="0" containsNumber="1" minValue="377.6" maxValue="5375.9"/>
    </cacheField>
    <cacheField name="Sales Rep" numFmtId="0">
      <sharedItems/>
    </cacheField>
    <cacheField name="Notes" numFmtId="0">
      <sharedItems containsBlank="1"/>
    </cacheField>
  </cacheFields>
  <extLst>
    <ext xmlns:x14="http://schemas.microsoft.com/office/spreadsheetml/2009/9/main" uri="{725AE2AE-9491-48be-B2B4-4EB974FC3084}">
      <x14:pivotCacheDefinition pivotCacheId="91232808"/>
    </ext>
    <ext xmlns:xxpvi="http://schemas.microsoft.com/office/spreadsheetml/2022/pivotVersionInfo" uri="{9F748A41-CAEA-4470-BF7A-CE61E8FFA7F9}">
      <xxpvi:cacheVersionInfo>
        <xxpvi:lastRefreshFeature>Autorefresh</xxpvi:lastRefreshFeature>
      </xxpvi:cacheVersionInfo>
    </ext>
    <ext xmlns:xlpar="http://schemas.microsoft.com/office/spreadsheetml/2024/pivotAutoRefresh" uri="{DA1E1B2C-A1EE-400B-A0BD-712935E3C959}">
      <xlpar:autoRefresh>1</xlpar:autoRefresh>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s v="ORD-0001"/>
    <d v="2026-01-13T00:00:00"/>
    <x v="0"/>
    <s v="Vertex Infrastructure"/>
    <s v="LZ-IND-210"/>
    <x v="0"/>
    <s v="Hydraulic Fluid Additive"/>
    <x v="0"/>
    <n v="1250"/>
    <n v="9.5"/>
    <n v="11875"/>
    <n v="80.2"/>
    <x v="0"/>
    <n v="13"/>
    <n v="1686.9"/>
    <s v="A. Tan"/>
    <m/>
  </r>
  <r>
    <s v="ORD-0002"/>
    <d v="2026-04-22T00:00:00"/>
    <x v="1"/>
    <s v="Apex Mobility"/>
    <s v="LZ-IND-210"/>
    <x v="0"/>
    <s v="Hydraulic Fluid Additive"/>
    <x v="1"/>
    <n v="1250"/>
    <n v="21.89"/>
    <n v="27362.5"/>
    <n v="93.1"/>
    <x v="1"/>
    <n v="22"/>
    <n v="1492.7"/>
    <s v="C. Kumar"/>
    <m/>
  </r>
  <r>
    <s v="ORD-0003"/>
    <d v="2026-08-05T00:00:00"/>
    <x v="2"/>
    <s v="Vertex Infrastructure"/>
    <s v="LZ-BPC-330"/>
    <x v="1"/>
    <s v="Rheology Modifier"/>
    <x v="0"/>
    <n v="1250"/>
    <n v="27.08"/>
    <n v="33850"/>
    <n v="85.2"/>
    <x v="2"/>
    <n v="32"/>
    <n v="1008"/>
    <s v="C. Kumar"/>
    <s v="sample lot"/>
  </r>
  <r>
    <s v="ORD-0004"/>
    <d v="2026-01-23T00:00:00"/>
    <x v="0"/>
    <s v="Metro Industrial"/>
    <s v="LZ-HLC-520"/>
    <x v="2"/>
    <s v="Pharma Grade Polymer"/>
    <x v="1"/>
    <n v="750"/>
    <n v="27.42"/>
    <n v="20565"/>
    <n v="86.1"/>
    <x v="0"/>
    <n v="26"/>
    <n v="1209.3"/>
    <s v="E. Martin"/>
    <s v="Customer requested COA"/>
  </r>
  <r>
    <s v="ORD-0005"/>
    <d v="2026-02-05T00:00:00"/>
    <x v="3"/>
    <s v="Summit Healthcare"/>
    <s v="LZ-COA-415"/>
    <x v="3"/>
    <s v="Dispersant Polymer"/>
    <x v="2"/>
    <n v="750"/>
    <n v="24.89"/>
    <n v="18667.5"/>
    <n v="96.6"/>
    <x v="1"/>
    <n v="25"/>
    <n v="899.1"/>
    <s v="C. Kumar"/>
    <s v="rush order"/>
  </r>
  <r>
    <s v="ORD-0006"/>
    <d v="2026-07-01T00:00:00"/>
    <x v="1"/>
    <s v="Vertex Infrastructure"/>
    <s v="LZ-BLD-610"/>
    <x v="4"/>
    <s v="CPVC Performance Compound"/>
    <x v="3"/>
    <n v="1000"/>
    <n v="17.98"/>
    <n v="17980"/>
    <n v="83.3"/>
    <x v="1"/>
    <n v="32"/>
    <n v="996.9"/>
    <s v="E. Martin"/>
    <s v="rush order"/>
  </r>
  <r>
    <s v="ORD-0007"/>
    <d v="2026-01-29T00:00:00"/>
    <x v="1"/>
    <s v=" Apex Mobility  "/>
    <s v="LZ-BLD-610"/>
    <x v="4"/>
    <s v="CPVC Performance Compound"/>
    <x v="2"/>
    <n v="2500"/>
    <n v="12.26"/>
    <n v="30650"/>
    <n v="82.5"/>
    <x v="0"/>
    <n v="28"/>
    <n v="2334.6999999999998"/>
    <s v="D. Chen"/>
    <s v="price review"/>
  </r>
  <r>
    <s v="ORD-0008"/>
    <d v="2026-03-15T00:00:00"/>
    <x v="2"/>
    <s v="Orion Coatings"/>
    <s v="LZ-ELC-810"/>
    <x v="5"/>
    <s v="Thermal Management Fluid"/>
    <x v="0"/>
    <n v="1500"/>
    <n v="22.56"/>
    <n v="33840"/>
    <n v="87.2"/>
    <x v="0"/>
    <n v="33"/>
    <n v="1647.3"/>
    <s v="B. Lee"/>
    <s v="sample lot"/>
  </r>
  <r>
    <s v="ORD-0009"/>
    <d v="2026-02-16T00:00:00"/>
    <x v="3"/>
    <s v="Nova Personal Care"/>
    <s v="LZ-ELC-810"/>
    <x v="5"/>
    <s v="Thermal Management Fluid"/>
    <x v="0"/>
    <n v="1000"/>
    <n v="23.53"/>
    <n v="23530"/>
    <n v="87.1"/>
    <x v="2"/>
    <n v="32"/>
    <n v="1119.8"/>
    <s v="D. Chen"/>
    <s v="sample lot"/>
  </r>
  <r>
    <s v="ORD-0010"/>
    <d v="2026-01-06T00:00:00"/>
    <x v="0"/>
    <s v="Nova Personal Care"/>
    <s v="LZ-HLC-520"/>
    <x v="2"/>
    <s v="Pharma Grade Polymer"/>
    <x v="1"/>
    <n v="1500"/>
    <n v="23.02"/>
    <n v="34530"/>
    <n v="85.3"/>
    <x v="2"/>
    <n v="35"/>
    <n v="1311"/>
    <s v="A. Tan"/>
    <m/>
  </r>
  <r>
    <s v="ORD-0011"/>
    <d v="2026-09-14T00:00:00"/>
    <x v="1"/>
    <s v="Nova Personal Care"/>
    <s v="LZ-HLC-520"/>
    <x v="2"/>
    <s v="Pharma Grade Polymer"/>
    <x v="2"/>
    <n v="1250"/>
    <n v="9.7899999999999991"/>
    <n v="12237.5"/>
    <n v="94.4"/>
    <x v="0"/>
    <n v="41"/>
    <n v="2137.9"/>
    <s v="E. Martin"/>
    <s v="Customer requested COA"/>
  </r>
  <r>
    <s v="ORD-0012"/>
    <d v="2026-01-10T00:00:00"/>
    <x v="3"/>
    <s v="BluePeak Energy"/>
    <s v="LZ-ELC-810"/>
    <x v="5"/>
    <s v="Thermal Management Fluid"/>
    <x v="2"/>
    <n v="1250"/>
    <n v="7.75"/>
    <n v="9687.5"/>
    <n v="96.9"/>
    <x v="2"/>
    <n v="13"/>
    <n v="1881.4"/>
    <s v="A. Tan"/>
    <s v="sample lot"/>
  </r>
  <r>
    <s v="ORD-0013"/>
    <d v="2026-03-07T00:00:00"/>
    <x v="0"/>
    <s v="Metro Industrial"/>
    <s v="LZ-BPC-330"/>
    <x v="1"/>
    <s v="Rheology Modifier"/>
    <x v="1"/>
    <n v="1000"/>
    <n v="12.2"/>
    <n v="12200"/>
    <n v="96.8"/>
    <x v="1"/>
    <n v="21"/>
    <n v="1721.8"/>
    <s v="B. Lee"/>
    <m/>
  </r>
  <r>
    <s v="ORD-0014"/>
    <d v="2026-07-24T00:00:00"/>
    <x v="0"/>
    <s v="BluePeak Energy"/>
    <s v="LZ-HLC-520"/>
    <x v="2"/>
    <s v="Pharma Grade Polymer"/>
    <x v="4"/>
    <n v="3000"/>
    <n v="9.1"/>
    <n v="27300"/>
    <n v="82.8"/>
    <x v="2"/>
    <n v="9"/>
    <n v="4041.4"/>
    <s v="B. Lee"/>
    <s v="sample lot"/>
  </r>
  <r>
    <s v="ORD-0015"/>
    <d v="2026-01-04T00:00:00"/>
    <x v="3"/>
    <s v="Apex Mobility"/>
    <s v="LZ-COA-415"/>
    <x v="3"/>
    <s v="Dispersant Polymer"/>
    <x v="0"/>
    <n v="750"/>
    <n v="25.97"/>
    <n v="19477.5"/>
    <n v="96.5"/>
    <x v="2"/>
    <n v="40"/>
    <n v="721.4"/>
    <s v="D. Chen"/>
    <s v="rush order"/>
  </r>
  <r>
    <s v="ORD-0016"/>
    <d v="2026-08-31T00:00:00"/>
    <x v="1"/>
    <s v="Metro Industrial"/>
    <s v="LZ-BPC-330"/>
    <x v="1"/>
    <s v="Rheology Modifier"/>
    <x v="4"/>
    <n v="1250"/>
    <n v="8.5299999999999994"/>
    <n v="10662.5"/>
    <n v="92.2"/>
    <x v="2"/>
    <n v="35"/>
    <n v="1440.3"/>
    <s v="A. Tan"/>
    <m/>
  </r>
  <r>
    <s v="ORD-0017"/>
    <d v="2026-02-01T00:00:00"/>
    <x v="4"/>
    <s v="BluePeak Energy"/>
    <s v="LZ-IND-210"/>
    <x v="0"/>
    <s v="Hydraulic Fluid Additive"/>
    <x v="3"/>
    <n v="1250"/>
    <n v="10.62"/>
    <n v="13275"/>
    <n v="89.5"/>
    <x v="2"/>
    <n v="35"/>
    <n v="1127.3"/>
    <s v="D. Chen"/>
    <s v="rush order"/>
  </r>
  <r>
    <s v="ORD-0018"/>
    <d v="2026-08-15T00:00:00"/>
    <x v="5"/>
    <s v="Nova Personal Care"/>
    <s v="LZ-IND-210"/>
    <x v="0"/>
    <s v="Hydraulic Fluid Additive"/>
    <x v="3"/>
    <n v="500"/>
    <n v="27.33"/>
    <n v="13665"/>
    <n v="97.9"/>
    <x v="2"/>
    <n v="18"/>
    <n v="573.5"/>
    <s v="D. Chen"/>
    <s v="rush order"/>
  </r>
  <r>
    <s v="ORD-0019"/>
    <d v="2026-01-31T00:00:00"/>
    <x v="1"/>
    <s v="Delta Electronics"/>
    <s v="LZ-ENE-710"/>
    <x v="6"/>
    <s v="Industrial Lubricant Additive"/>
    <x v="3"/>
    <n v="2500"/>
    <n v="12.2"/>
    <n v="30500"/>
    <n v="94.9"/>
    <x v="1"/>
    <n v="26"/>
    <n v="2913.3"/>
    <s v="E. Martin"/>
    <m/>
  </r>
  <r>
    <s v="ORD-0020"/>
    <d v="2026-03-21T00:00:00"/>
    <x v="1"/>
    <s v="Vertex Infrastructure"/>
    <s v="LZ-ELC-810"/>
    <x v="5"/>
    <s v="Thermal Management Fluid"/>
    <x v="0"/>
    <n v="500"/>
    <n v="18.95"/>
    <n v="9475"/>
    <n v="89.7"/>
    <x v="2"/>
    <n v="11"/>
    <n v="377.6"/>
    <s v="D. Chen"/>
    <s v="sample lot"/>
  </r>
  <r>
    <s v="ORD-0021"/>
    <d v="2026-01-30T00:00:00"/>
    <x v="5"/>
    <s v="Nova Personal Care"/>
    <s v="LZ-BPC-330"/>
    <x v="1"/>
    <s v="Rheology Modifier"/>
    <x v="0"/>
    <n v="750"/>
    <n v="19.29"/>
    <n v="14467.5"/>
    <n v="92.5"/>
    <x v="2"/>
    <n v="33"/>
    <n v="623.9"/>
    <s v="E. Martin"/>
    <s v="rush order"/>
  </r>
  <r>
    <s v="ORD-0022"/>
    <d v="2026-02-11T00:00:00"/>
    <x v="4"/>
    <s v="BluePeak Energy"/>
    <s v="LZTRN101"/>
    <x v="7"/>
    <s v="Driveline Additive Package"/>
    <x v="2"/>
    <n v="1250"/>
    <n v="20.9"/>
    <n v="26125"/>
    <n v="84.8"/>
    <x v="2"/>
    <n v="33"/>
    <n v="1055"/>
    <s v="C. Kumar"/>
    <s v="price review"/>
  </r>
  <r>
    <s v="ORD-0023"/>
    <d v="2026-02-07T00:00:00"/>
    <x v="3"/>
    <s v="Metro Industrial"/>
    <s v="LZ-BLD-610"/>
    <x v="4"/>
    <s v="CPVC Performance Compound"/>
    <x v="1"/>
    <n v="750"/>
    <n v="8.08"/>
    <n v="6060"/>
    <n v="82.6"/>
    <x v="2"/>
    <n v="16"/>
    <n v="1294.9000000000001"/>
    <s v="A. Tan"/>
    <s v="rush order"/>
  </r>
  <r>
    <s v="ORD-0024"/>
    <d v="2026-05-26T00:00:00"/>
    <x v="1"/>
    <s v=" Metro Industrial  "/>
    <s v="LZ-BLD-610"/>
    <x v="4"/>
    <s v="CPVC Performance Compound"/>
    <x v="1"/>
    <n v="1500"/>
    <n v="19.649999999999999"/>
    <n v="29475"/>
    <n v="99.2"/>
    <x v="0"/>
    <n v="8"/>
    <n v="2152"/>
    <s v="E. Martin"/>
    <s v="Customer requested COA"/>
  </r>
  <r>
    <s v="ORD-0025"/>
    <d v="2026-03-10T00:00:00"/>
    <x v="2"/>
    <s v="Nova Personal Care"/>
    <s v="LZ-IND-210"/>
    <x v="0"/>
    <s v="Hydraulic Fluid Additive"/>
    <x v="3"/>
    <n v="1000"/>
    <n v="12.36"/>
    <n v="12360"/>
    <n v="91"/>
    <x v="2"/>
    <n v="21"/>
    <n v="1456.2"/>
    <s v="C. Kumar"/>
    <s v="sample lot"/>
  </r>
  <r>
    <s v="ORD-0026"/>
    <d v="2026-05-09T00:00:00"/>
    <x v="3"/>
    <s v="Nova Personal Care"/>
    <s v="LZ-ELC-810"/>
    <x v="5"/>
    <s v="Thermal Management Fluid"/>
    <x v="4"/>
    <n v="1500"/>
    <n v="7.45"/>
    <n v="11175"/>
    <n v="85.2"/>
    <x v="2"/>
    <n v="24"/>
    <n v="1316.6"/>
    <s v="D. Chen"/>
    <s v="sample lot"/>
  </r>
  <r>
    <s v="ORD-0027"/>
    <d v="2026-01-05T00:00:00"/>
    <x v="3"/>
    <s v="Nova Personal Care"/>
    <s v="LZ-ENE-710"/>
    <x v="6"/>
    <s v="Industrial Lubricant Additive"/>
    <x v="0"/>
    <n v="500"/>
    <n v="24.44"/>
    <n v="12220"/>
    <n v="90.5"/>
    <x v="2"/>
    <n v="35"/>
    <n v="420.1"/>
    <s v="C. Kumar"/>
    <s v="Customer requested COA"/>
  </r>
  <r>
    <s v="ORD-0028"/>
    <d v="2026-07-03T00:00:00"/>
    <x v="1"/>
    <s v="Summit Healthcare"/>
    <s v="LZ-TRN-101"/>
    <x v="7"/>
    <s v="Driveline Additive Package"/>
    <x v="3"/>
    <n v="2000"/>
    <n v="23.27"/>
    <n v="46540"/>
    <n v="97"/>
    <x v="1"/>
    <n v="17"/>
    <n v="3436.7"/>
    <s v="B. Lee"/>
    <s v="rush order"/>
  </r>
  <r>
    <s v="ORD-0029"/>
    <d v="2026-07-31T00:00:00"/>
    <x v="3"/>
    <s v="Orion Coatings"/>
    <s v="LZ-BPC-330"/>
    <x v="1"/>
    <s v="Rheology Modifier"/>
    <x v="2"/>
    <n v="2500"/>
    <n v="23.75"/>
    <n v="59375"/>
    <n v="96.6"/>
    <x v="2"/>
    <n v="25"/>
    <n v="2187.8000000000002"/>
    <s v="A. Tan"/>
    <s v="price review"/>
  </r>
  <r>
    <s v="ORD-0030"/>
    <d v="2026-08-29T00:00:00"/>
    <x v="1"/>
    <s v="Summit Healthcare"/>
    <s v="LZ-TRN-101"/>
    <x v="7"/>
    <s v="Driveline Additive Package"/>
    <x v="4"/>
    <n v="2000"/>
    <n v="13.06"/>
    <n v="26120"/>
    <n v="95.1"/>
    <x v="2"/>
    <n v="22"/>
    <n v="1452.1"/>
    <s v="B. Lee"/>
    <s v="price review"/>
  </r>
  <r>
    <s v="ORD-0031"/>
    <d v="2026-05-23T00:00:00"/>
    <x v="3"/>
    <s v="Vertex Infrastructure"/>
    <s v="LZ-BLD-610"/>
    <x v="4"/>
    <s v="CPVC Performance Compound"/>
    <x v="2"/>
    <n v="2500"/>
    <n v="21.11"/>
    <n v="52775"/>
    <n v="96.1"/>
    <x v="2"/>
    <n v="9"/>
    <n v="2067.1999999999998"/>
    <s v="C. Kumar"/>
    <s v="N/A"/>
  </r>
  <r>
    <s v="ORD-0032"/>
    <d v="2026-01-20T00:00:00"/>
    <x v="3"/>
    <s v="Delta Electronics"/>
    <s v="LZ-HLC-520"/>
    <x v="2"/>
    <s v="Pharma Grade Polymer"/>
    <x v="2"/>
    <n v="2000"/>
    <n v="15.88"/>
    <n v="31760"/>
    <n v="99.2"/>
    <x v="2"/>
    <n v="32"/>
    <n v="3378.9"/>
    <s v="B. Lee"/>
    <s v="Customer requested COA"/>
  </r>
  <r>
    <s v="ORD-0033"/>
    <d v="2026-08-12T00:00:00"/>
    <x v="3"/>
    <s v="Summit Healthcare"/>
    <s v="LZ-TRN-101"/>
    <x v="7"/>
    <s v="Driveline Additive Package"/>
    <x v="2"/>
    <n v="2500"/>
    <n v="8"/>
    <n v="20000"/>
    <n v="92.3"/>
    <x v="2"/>
    <n v="28"/>
    <n v="3574.3"/>
    <s v="A. Tan"/>
    <m/>
  </r>
  <r>
    <s v="ORD-0034"/>
    <d v="2026-09-17T00:00:00"/>
    <x v="2"/>
    <s v="Delta Electronics"/>
    <s v="LZ-HLC-520"/>
    <x v="2"/>
    <s v="Pharma Grade Polymer"/>
    <x v="2"/>
    <n v="2500"/>
    <n v="21.49"/>
    <n v="53725"/>
    <n v="89.9"/>
    <x v="2"/>
    <n v="34"/>
    <n v="3578.6"/>
    <s v="D. Chen"/>
    <m/>
  </r>
  <r>
    <s v="ORD-0035"/>
    <d v="2026-06-04T00:00:00"/>
    <x v="4"/>
    <s v="Apex Mobility"/>
    <s v="LZ-BPC-330"/>
    <x v="1"/>
    <s v="Rheology Modifier"/>
    <x v="2"/>
    <n v="1500"/>
    <n v="11.02"/>
    <n v="16530"/>
    <n v="94.9"/>
    <x v="0"/>
    <n v="28"/>
    <n v="1817.2"/>
    <s v="D. Chen"/>
    <m/>
  </r>
  <r>
    <s v="ORD-0036"/>
    <d v="2026-09-19T00:00:00"/>
    <x v="4"/>
    <s v="Orion Coatings"/>
    <s v="LZ-COA-415"/>
    <x v="3"/>
    <s v="Dispersant Polymer"/>
    <x v="3"/>
    <n v="1500"/>
    <n v="17.579999999999998"/>
    <n v="26370"/>
    <n v="91.6"/>
    <x v="2"/>
    <n v="13"/>
    <n v="2400.4"/>
    <s v="B. Lee"/>
    <m/>
  </r>
  <r>
    <s v="ORD-0037"/>
    <d v="2026-04-26T00:00:00"/>
    <x v="1"/>
    <s v="Orion Coatings"/>
    <s v="LZ-HLC-520"/>
    <x v="2"/>
    <s v="Pharma Grade Polymer"/>
    <x v="3"/>
    <n v="500"/>
    <n v="11.76"/>
    <n v="5880"/>
    <n v="88.2"/>
    <x v="2"/>
    <n v="37"/>
    <n v="577.9"/>
    <s v="E. Martin"/>
    <s v="rush order"/>
  </r>
  <r>
    <s v="ORD-0038"/>
    <d v="2026-09-11T00:00:00"/>
    <x v="4"/>
    <s v="Summit Healthcare"/>
    <s v="LZ-ENE-710"/>
    <x v="6"/>
    <s v="Industrial Lubricant Additive"/>
    <x v="0"/>
    <n v="500"/>
    <n v="25.69"/>
    <n v="12845"/>
    <n v="96.5"/>
    <x v="2"/>
    <n v="35"/>
    <n v="470.4"/>
    <s v="E. Martin"/>
    <s v="price review"/>
  </r>
  <r>
    <s v="ORD-0039"/>
    <d v="2026-05-08T00:00:00"/>
    <x v="3"/>
    <s v="Metro Industrial"/>
    <s v="LZ-TRN-101"/>
    <x v="7"/>
    <s v="Driveline Additive Package"/>
    <x v="0"/>
    <n v="3000"/>
    <n v="20.85"/>
    <n v="62550"/>
    <m/>
    <x v="0"/>
    <n v="28"/>
    <n v="5235.1000000000004"/>
    <s v="D. Chen"/>
    <s v="sample lot"/>
  </r>
  <r>
    <s v="ORD-0040"/>
    <d v="2026-08-17T00:00:00"/>
    <x v="1"/>
    <s v="Metro Industrial"/>
    <s v="LZ-ENE-710"/>
    <x v="6"/>
    <s v="Industrial Lubricant Additive"/>
    <x v="4"/>
    <n v="1500"/>
    <n v="22.66"/>
    <n v="33990"/>
    <n v="96.1"/>
    <x v="2"/>
    <n v="41"/>
    <n v="1849.6"/>
    <s v="B. Lee"/>
    <s v="Customer requested COA"/>
  </r>
  <r>
    <s v="ORD-0041"/>
    <d v="2026-02-09T00:00:00"/>
    <x v="0"/>
    <s v="Vertex Infrastructure"/>
    <s v="LZ-ELC-810"/>
    <x v="5"/>
    <s v="Thermal Management Fluid"/>
    <x v="0"/>
    <n v="1500"/>
    <n v="13.72"/>
    <n v="20580"/>
    <n v="97.2"/>
    <x v="2"/>
    <n v="16"/>
    <n v="1298.9000000000001"/>
    <s v="D. Chen"/>
    <m/>
  </r>
  <r>
    <s v="ORD-0042"/>
    <d v="2026-04-20T00:00:00"/>
    <x v="3"/>
    <s v="Delta Electronics"/>
    <s v="LZ-BPC-330"/>
    <x v="1"/>
    <s v="Rheology Modifier"/>
    <x v="4"/>
    <n v="2000"/>
    <n v="18.170000000000002"/>
    <n v="36340"/>
    <n v="86.9"/>
    <x v="2"/>
    <n v="34"/>
    <n v="2256.8000000000002"/>
    <s v="E. Martin"/>
    <m/>
  </r>
  <r>
    <s v="ORD-0043"/>
    <d v="2026-07-14T00:00:00"/>
    <x v="4"/>
    <s v=" Apex Mobility  "/>
    <s v="LZ-TRN-101"/>
    <x v="7"/>
    <s v="Driveline Additive Package"/>
    <x v="2"/>
    <n v="1500"/>
    <n v="22.7"/>
    <n v="34050"/>
    <n v="96.3"/>
    <x v="1"/>
    <n v="42"/>
    <n v="2283.4"/>
    <s v="E. Martin"/>
    <s v="sample lot"/>
  </r>
  <r>
    <s v="ORD-0044"/>
    <d v="2026-09-07T00:00:00"/>
    <x v="1"/>
    <s v="Vertex Infrastructure"/>
    <s v="LZ-COA-415"/>
    <x v="3"/>
    <s v="Dispersant Polymer"/>
    <x v="4"/>
    <n v="3000"/>
    <n v="7.12"/>
    <n v="21360"/>
    <n v="85.2"/>
    <x v="1"/>
    <n v="18"/>
    <n v="4873.7"/>
    <s v="B. Lee"/>
    <s v="sample lot"/>
  </r>
  <r>
    <s v="ORD-0045"/>
    <d v="2026-07-21T00:00:00"/>
    <x v="5"/>
    <s v="Apex Mobility"/>
    <s v="LZ-TRN-101"/>
    <x v="7"/>
    <s v="Driveline Additive Package"/>
    <x v="3"/>
    <n v="2500"/>
    <n v="9.42"/>
    <n v="23550"/>
    <n v="87.9"/>
    <x v="2"/>
    <n v="24"/>
    <n v="2792.5"/>
    <s v="B. Lee"/>
    <s v="price review"/>
  </r>
  <r>
    <s v="ORD-0046"/>
    <d v="2026-06-22T00:00:00"/>
    <x v="4"/>
    <s v="Vertex Infrastructure"/>
    <s v="LZ-BLD-610"/>
    <x v="4"/>
    <s v="CPVC Performance Compound"/>
    <x v="4"/>
    <n v="1500"/>
    <n v="24.45"/>
    <n v="36675"/>
    <n v="88.1"/>
    <x v="0"/>
    <n v="11"/>
    <n v="2699.8"/>
    <s v="C. Kumar"/>
    <s v="rush order"/>
  </r>
  <r>
    <s v="ORD-0047"/>
    <d v="2026-01-21T00:00:00"/>
    <x v="3"/>
    <s v="Summit Healthcare"/>
    <s v="LZ-IND-210"/>
    <x v="0"/>
    <s v="Hydraulic Fluid Additive"/>
    <x v="0"/>
    <n v="500"/>
    <n v="19.86"/>
    <n v="9930"/>
    <n v="83.1"/>
    <x v="1"/>
    <n v="15"/>
    <n v="660.2"/>
    <s v="B. Lee"/>
    <s v="price review"/>
  </r>
  <r>
    <s v="ORD-0048"/>
    <d v="2026-07-08T00:00:00"/>
    <x v="1"/>
    <s v="Nova Personal Care"/>
    <s v="LZ-HLC-520"/>
    <x v="2"/>
    <s v="Pharma Grade Polymer"/>
    <x v="0"/>
    <n v="1500"/>
    <n v="8.82"/>
    <n v="13230"/>
    <n v="78.599999999999994"/>
    <x v="2"/>
    <n v="32"/>
    <n v="1704.5"/>
    <s v="B. Lee"/>
    <m/>
  </r>
  <r>
    <s v="ORD-0049"/>
    <d v="2026-02-22T00:00:00"/>
    <x v="0"/>
    <s v="Vertex Infrastructure"/>
    <s v="LZ-COA-415"/>
    <x v="3"/>
    <s v="Dispersant Polymer"/>
    <x v="1"/>
    <n v="750"/>
    <n v="23.62"/>
    <n v="17715"/>
    <n v="90.2"/>
    <x v="2"/>
    <n v="30"/>
    <n v="964.5"/>
    <s v="C. Kumar"/>
    <m/>
  </r>
  <r>
    <s v="ORD-0050"/>
    <d v="2026-01-07T00:00:00"/>
    <x v="4"/>
    <s v="Metro Industrial"/>
    <s v="LZ-BLD-610"/>
    <x v="4"/>
    <s v="CPVC Performance Compound"/>
    <x v="3"/>
    <n v="2500"/>
    <n v="27.16"/>
    <n v="67900"/>
    <n v="91.7"/>
    <x v="1"/>
    <n v="17"/>
    <n v="2947.6"/>
    <s v="E. Martin"/>
    <m/>
  </r>
  <r>
    <s v="ORD-0051"/>
    <d v="2026-09-05T00:00:00"/>
    <x v="4"/>
    <s v="Delta Electronics"/>
    <s v="LZ-HLC-520"/>
    <x v="2"/>
    <s v="Pharma Grade Polymer"/>
    <x v="1"/>
    <n v="1500"/>
    <n v="13.43"/>
    <n v="20145"/>
    <n v="83.3"/>
    <x v="2"/>
    <n v="25"/>
    <n v="2504.6999999999998"/>
    <s v="B. Lee"/>
    <s v="price review"/>
  </r>
  <r>
    <s v="ORD-0052"/>
    <d v="2026-06-22T00:00:00"/>
    <x v="3"/>
    <s v="Metro Industrial"/>
    <s v="LZ-ENE-710"/>
    <x v="6"/>
    <s v="Industrial Lubricant Additive"/>
    <x v="2"/>
    <n v="1000"/>
    <n v="16.98"/>
    <n v="16980"/>
    <n v="85.6"/>
    <x v="2"/>
    <n v="29"/>
    <n v="1007.6"/>
    <s v="E. Martin"/>
    <m/>
  </r>
  <r>
    <s v="ORD-0053"/>
    <d v="2026-01-06T00:00:00"/>
    <x v="5"/>
    <s v="Summit Healthcare"/>
    <s v="LZ-HLC-520"/>
    <x v="2"/>
    <s v="Pharma Grade Polymer"/>
    <x v="3"/>
    <n v="1250"/>
    <n v="21.98"/>
    <n v="27475"/>
    <n v="88.5"/>
    <x v="2"/>
    <n v="38"/>
    <n v="1763.1"/>
    <s v="D. Chen"/>
    <s v="price review"/>
  </r>
  <r>
    <s v="ORD-0054"/>
    <d v="2026-02-17T00:00:00"/>
    <x v="2"/>
    <s v="Summit Healthcare"/>
    <s v="LZ-TRN-101"/>
    <x v="7"/>
    <s v="Driveline Additive Package"/>
    <x v="4"/>
    <n v="1250"/>
    <n v="13.08"/>
    <n v="16350"/>
    <n v="90.5"/>
    <x v="1"/>
    <n v="41"/>
    <n v="1347.7"/>
    <s v="E. Martin"/>
    <s v="Customer requested COA"/>
  </r>
  <r>
    <s v="ORD-0055"/>
    <d v="2026-08-21T00:00:00"/>
    <x v="2"/>
    <s v="Vertex Infrastructure"/>
    <s v="LZ-BLD-610"/>
    <x v="4"/>
    <s v="CPVC Performance Compound"/>
    <x v="2"/>
    <n v="1250"/>
    <n v="9.09"/>
    <n v="11362.5"/>
    <n v="82.1"/>
    <x v="2"/>
    <n v="42"/>
    <n v="2182.5"/>
    <s v="B. Lee"/>
    <s v="rush order"/>
  </r>
  <r>
    <s v="ORD-0056"/>
    <d v="2026-09-05T00:00:00"/>
    <x v="2"/>
    <s v="Vertex Infrastructure"/>
    <s v="LZ-COA-415"/>
    <x v="3"/>
    <s v="Dispersant Polymer"/>
    <x v="3"/>
    <n v="1250"/>
    <n v="12.87"/>
    <n v="16087.5"/>
    <n v="85.8"/>
    <x v="2"/>
    <n v="8"/>
    <n v="1848.5"/>
    <s v="B. Lee"/>
    <s v="Customer requested COA"/>
  </r>
  <r>
    <s v="ORD-0057"/>
    <d v="2026-01-28T00:00:00"/>
    <x v="5"/>
    <s v="Vertex Infrastructure"/>
    <s v="LZ-TRN-101"/>
    <x v="7"/>
    <s v="Driveline Additive Package"/>
    <x v="0"/>
    <n v="3000"/>
    <n v="8.7100000000000009"/>
    <n v="26130"/>
    <n v="78.3"/>
    <x v="2"/>
    <n v="38"/>
    <n v="3679.8"/>
    <s v="C. Kumar"/>
    <s v="rush order"/>
  </r>
  <r>
    <s v="ORD-0058"/>
    <d v="2026-05-10T00:00:00"/>
    <x v="4"/>
    <s v="Nova Personal Care"/>
    <s v="LZ-TRN-101"/>
    <x v="7"/>
    <s v="Driveline Additive Package"/>
    <x v="3"/>
    <n v="2500"/>
    <n v="17.07"/>
    <n v="42675"/>
    <n v="90.4"/>
    <x v="2"/>
    <n v="17"/>
    <n v="2160.3000000000002"/>
    <s v="E. Martin"/>
    <s v="Customer requested COA"/>
  </r>
  <r>
    <s v="ORD-0059"/>
    <d v="2026-05-08T00:00:00"/>
    <x v="3"/>
    <s v="Delta Electronics"/>
    <s v="LZ-IND-210"/>
    <x v="0"/>
    <s v="Hydraulic Fluid Additive"/>
    <x v="1"/>
    <n v="1250"/>
    <n v="23.18"/>
    <n v="28975"/>
    <n v="86.2"/>
    <x v="1"/>
    <n v="27"/>
    <n v="2057.6999999999998"/>
    <s v="D. Chen"/>
    <s v="Customer requested COA"/>
  </r>
  <r>
    <s v="ORD-0060"/>
    <d v="2026-02-20T00:00:00"/>
    <x v="1"/>
    <s v="Summit Healthcare"/>
    <s v="LZ-TRN-101"/>
    <x v="7"/>
    <s v="Driveline Additive Package"/>
    <x v="2"/>
    <n v="750"/>
    <n v="9.8800000000000008"/>
    <n v="7410"/>
    <n v="81.7"/>
    <x v="2"/>
    <n v="18"/>
    <n v="527.20000000000005"/>
    <s v="D. Chen"/>
    <m/>
  </r>
  <r>
    <s v="ORD-0061"/>
    <d v="2026-05-30T00:00:00"/>
    <x v="3"/>
    <s v="Summit Healthcare"/>
    <s v="LZ-ELC-810"/>
    <x v="5"/>
    <s v="Thermal Management Fluid"/>
    <x v="2"/>
    <n v="1500"/>
    <n v="21.61"/>
    <n v="32415"/>
    <n v="87.8"/>
    <x v="2"/>
    <n v="24"/>
    <n v="2349.9"/>
    <s v="E. Martin"/>
    <m/>
  </r>
  <r>
    <s v="ORD-0062"/>
    <d v="2026-08-06T00:00:00"/>
    <x v="3"/>
    <s v="Summit Healthcare"/>
    <s v="LZ-COA-415"/>
    <x v="3"/>
    <s v="Dispersant Polymer"/>
    <x v="0"/>
    <n v="1500"/>
    <n v="24.27"/>
    <n v="36405"/>
    <n v="79.5"/>
    <x v="2"/>
    <n v="27"/>
    <n v="2031.8"/>
    <s v="E. Martin"/>
    <s v="Customer requested COA"/>
  </r>
  <r>
    <s v="ORD-0063"/>
    <d v="2026-03-05T00:00:00"/>
    <x v="4"/>
    <s v="Vertex Infrastructure"/>
    <s v="LZELC810"/>
    <x v="5"/>
    <s v="Thermal Management Fluid"/>
    <x v="4"/>
    <n v="1500"/>
    <n v="17.260000000000002"/>
    <n v="25890"/>
    <n v="88.6"/>
    <x v="2"/>
    <n v="10"/>
    <n v="2517.5"/>
    <s v="C. Kumar"/>
    <s v="sample lot"/>
  </r>
  <r>
    <s v="ORD-0064"/>
    <d v="2026-01-14T00:00:00"/>
    <x v="3"/>
    <s v="Summit Healthcare"/>
    <s v="LZ-HLC-520"/>
    <x v="2"/>
    <s v="Pharma Grade Polymer"/>
    <x v="1"/>
    <n v="500"/>
    <n v="27.99"/>
    <n v="13995"/>
    <n v="92.5"/>
    <x v="2"/>
    <n v="10"/>
    <n v="769.7"/>
    <s v="B. Lee"/>
    <s v="price review"/>
  </r>
  <r>
    <s v="ORD-0065"/>
    <d v="2026-05-23T00:00:00"/>
    <x v="1"/>
    <s v="Delta Electronics"/>
    <s v="LZ-ELC-810"/>
    <x v="5"/>
    <s v="Thermal Management Fluid"/>
    <x v="4"/>
    <n v="750"/>
    <n v="16.61"/>
    <n v="12457.5"/>
    <n v="86.8"/>
    <x v="2"/>
    <n v="14"/>
    <n v="1232.5999999999999"/>
    <s v="C. Kumar"/>
    <s v="price review"/>
  </r>
  <r>
    <s v="ORD-0066"/>
    <d v="2026-05-28T00:00:00"/>
    <x v="0"/>
    <s v="Delta Electronics"/>
    <s v="LZ-ELC-810"/>
    <x v="5"/>
    <s v="Thermal Management Fluid"/>
    <x v="1"/>
    <n v="500"/>
    <n v="16.28"/>
    <n v="8140"/>
    <n v="84.8"/>
    <x v="2"/>
    <n v="15"/>
    <n v="883.6"/>
    <s v="D. Chen"/>
    <s v="sample lot"/>
  </r>
  <r>
    <s v="ORD-0067"/>
    <d v="2026-08-25T00:00:00"/>
    <x v="4"/>
    <s v="Apex Mobility"/>
    <s v="LZ-TRN-101"/>
    <x v="7"/>
    <s v="Driveline Additive Package"/>
    <x v="0"/>
    <n v="2000"/>
    <n v="19.89"/>
    <n v="39780"/>
    <n v="88.7"/>
    <x v="1"/>
    <n v="11"/>
    <n v="1847.8"/>
    <s v="E. Martin"/>
    <s v="rush order"/>
  </r>
  <r>
    <s v="ORD-0068"/>
    <d v="2026-08-13T00:00:00"/>
    <x v="0"/>
    <s v="Metro Industrial"/>
    <s v="LZ-HLC-520"/>
    <x v="2"/>
    <s v="Pharma Grade Polymer"/>
    <x v="3"/>
    <n v="500"/>
    <n v="27.42"/>
    <n v="13710"/>
    <n v="91.1"/>
    <x v="2"/>
    <n v="18"/>
    <n v="520.9"/>
    <s v="A. Tan"/>
    <s v="sample lot"/>
  </r>
  <r>
    <s v="ORD-0069"/>
    <d v="2026-02-17T00:00:00"/>
    <x v="1"/>
    <s v="Nova Personal Care"/>
    <s v="LZ-ENE-710"/>
    <x v="6"/>
    <s v="Industrial Lubricant Additive"/>
    <x v="4"/>
    <n v="750"/>
    <n v="20.43"/>
    <n v="15322.5"/>
    <n v="81.3"/>
    <x v="2"/>
    <n v="40"/>
    <n v="1107"/>
    <s v="D. Chen"/>
    <s v="price review"/>
  </r>
  <r>
    <s v="ORD-0020"/>
    <d v="2026-03-21T00:00:00"/>
    <x v="1"/>
    <s v="Vertex Infrastructure"/>
    <s v="LZ-ELC-810"/>
    <x v="5"/>
    <s v="Thermal Management Fluid"/>
    <x v="0"/>
    <n v="500"/>
    <n v="18.95"/>
    <n v="9475"/>
    <n v="89.7"/>
    <x v="2"/>
    <n v="11"/>
    <n v="377.6"/>
    <s v="D. Chen"/>
    <s v="sample lot"/>
  </r>
  <r>
    <s v="ORD-0071"/>
    <d v="2026-01-02T00:00:00"/>
    <x v="2"/>
    <s v="Vertex Infrastructure"/>
    <s v="LZ-HLC-520"/>
    <x v="2"/>
    <s v="Pharma Grade Polymer"/>
    <x v="1"/>
    <n v="3000"/>
    <n v="25.1"/>
    <n v="75300"/>
    <n v="87.6"/>
    <x v="1"/>
    <n v="30"/>
    <n v="3197.1"/>
    <s v="E. Martin"/>
    <s v="price review"/>
  </r>
  <r>
    <s v="ORD-0072"/>
    <d v="2026-06-14T00:00:00"/>
    <x v="1"/>
    <s v="Summit Healthcare"/>
    <s v="LZ-ELC-810"/>
    <x v="5"/>
    <s v="Thermal Management Fluid"/>
    <x v="1"/>
    <n v="2500"/>
    <n v="11.52"/>
    <n v="28800"/>
    <n v="94.7"/>
    <x v="2"/>
    <n v="28"/>
    <n v="3797.9"/>
    <s v="D. Chen"/>
    <s v="price review"/>
  </r>
  <r>
    <s v="ORD-0073"/>
    <d v="2026-09-11T00:00:00"/>
    <x v="3"/>
    <s v="Orion Coatings"/>
    <s v="LZ-BPC-330"/>
    <x v="1"/>
    <s v="Rheology Modifier"/>
    <x v="1"/>
    <n v="2000"/>
    <n v="25.2"/>
    <n v="50400"/>
    <n v="96.8"/>
    <x v="1"/>
    <n v="14"/>
    <n v="2557.1"/>
    <s v="D. Chen"/>
    <m/>
  </r>
  <r>
    <s v="ORD-0074"/>
    <d v="2026-07-29T00:00:00"/>
    <x v="0"/>
    <s v="Orion Coatings"/>
    <s v="LZ-BPC-330"/>
    <x v="1"/>
    <s v="Rheology Modifier"/>
    <x v="3"/>
    <n v="3000"/>
    <n v="23.3"/>
    <n v="69900"/>
    <n v="83.7"/>
    <x v="0"/>
    <n v="33"/>
    <n v="4244.5"/>
    <s v="C. Kumar"/>
    <m/>
  </r>
  <r>
    <s v="ORD-0075"/>
    <d v="2026-06-12T00:00:00"/>
    <x v="0"/>
    <s v="Metro Industrial"/>
    <s v="LZ-ENE-710"/>
    <x v="6"/>
    <s v="Industrial Lubricant Additive"/>
    <x v="1"/>
    <n v="500"/>
    <n v="19.78"/>
    <n v="9890"/>
    <n v="83"/>
    <x v="2"/>
    <n v="22"/>
    <n v="760.7"/>
    <s v="D. Chen"/>
    <m/>
  </r>
  <r>
    <s v="ORD-0076"/>
    <d v="2026-08-16T00:00:00"/>
    <x v="1"/>
    <s v="Vertex Infrastructure"/>
    <s v="LZ-IND-210"/>
    <x v="0"/>
    <s v="Hydraulic Fluid Additive"/>
    <x v="3"/>
    <n v="500"/>
    <n v="13.47"/>
    <n v="6735"/>
    <n v="79.2"/>
    <x v="2"/>
    <n v="31"/>
    <n v="586.9"/>
    <s v="B. Lee"/>
    <s v="sample lot"/>
  </r>
  <r>
    <s v="ORD-0077"/>
    <d v="2026-04-03T00:00:00"/>
    <x v="1"/>
    <s v="Orion Coatings"/>
    <s v="LZ-ENE-710"/>
    <x v="6"/>
    <s v="Industrial Lubricant Additive"/>
    <x v="3"/>
    <n v="2500"/>
    <n v="19.82"/>
    <n v="49550"/>
    <n v="83.2"/>
    <x v="0"/>
    <n v="17"/>
    <n v="2388.5"/>
    <s v="C. Kumar"/>
    <s v="price review"/>
  </r>
  <r>
    <s v="ORD-0078"/>
    <d v="2026-01-05T00:00:00"/>
    <x v="4"/>
    <s v="Vertex Infrastructure"/>
    <s v="LZ-HLC-520"/>
    <x v="2"/>
    <s v="Pharma Grade Polymer"/>
    <x v="1"/>
    <n v="1000"/>
    <n v="8.09"/>
    <n v="8090"/>
    <n v="98.3"/>
    <x v="0"/>
    <n v="27"/>
    <n v="1402.8"/>
    <s v="D. Chen"/>
    <m/>
  </r>
  <r>
    <s v="ORD-0079"/>
    <d v="2026-08-22T00:00:00"/>
    <x v="2"/>
    <s v="Summit Healthcare"/>
    <s v="LZ-HLC-520"/>
    <x v="2"/>
    <s v="Pharma Grade Polymer"/>
    <x v="4"/>
    <n v="3000"/>
    <n v="8.7899999999999991"/>
    <n v="26370"/>
    <n v="86.2"/>
    <x v="2"/>
    <n v="26"/>
    <n v="5375.9"/>
    <s v="C. Kumar"/>
    <m/>
  </r>
  <r>
    <s v="ORD-0080"/>
    <d v="2026-05-21T00:00:00"/>
    <x v="3"/>
    <s v="Apex Mobility"/>
    <s v="LZ-ENE-710"/>
    <x v="6"/>
    <s v="Industrial Lubricant Additive"/>
    <x v="1"/>
    <n v="3000"/>
    <n v="24.41"/>
    <n v="73230"/>
    <n v="97.4"/>
    <x v="2"/>
    <n v="30"/>
    <n v="2822.7"/>
    <s v="B. Lee"/>
    <s v="sample lot"/>
  </r>
  <r>
    <s v="ORD-0081"/>
    <d v="2026-03-12T00:00:00"/>
    <x v="0"/>
    <s v="Nova Personal Care"/>
    <s v="LZ-HLC-520"/>
    <x v="2"/>
    <s v="Pharma Grade Polymer"/>
    <x v="3"/>
    <n v="1500"/>
    <n v="23.46"/>
    <n v="35190"/>
    <n v="78.7"/>
    <x v="2"/>
    <n v="16"/>
    <n v="1198.7"/>
    <s v="C. Kumar"/>
    <s v="Customer requested COA"/>
  </r>
  <r>
    <s v="ORD-0082"/>
    <d v="2026-03-31T00:00:00"/>
    <x v="1"/>
    <s v="Orion Coatings"/>
    <s v="LZ-ENE-710"/>
    <x v="6"/>
    <s v="Industrial Lubricant Additive"/>
    <x v="1"/>
    <n v="2000"/>
    <n v="17.91"/>
    <n v="35820"/>
    <n v="97.6"/>
    <x v="2"/>
    <n v="24"/>
    <n v="3410.9"/>
    <s v="D. Chen"/>
    <s v="Customer requested COA"/>
  </r>
  <r>
    <s v="ORD-0083"/>
    <d v="2026-02-28T00:00:00"/>
    <x v="4"/>
    <s v="Nova Personal Care"/>
    <s v="LZ-BLD-610"/>
    <x v="4"/>
    <s v="CPVC Performance Compound"/>
    <x v="0"/>
    <n v="1250"/>
    <n v="24.99"/>
    <n v="31237.5"/>
    <n v="93.6"/>
    <x v="1"/>
    <n v="31"/>
    <n v="999.2"/>
    <s v="D. Chen"/>
    <m/>
  </r>
  <r>
    <s v="ORD-0084"/>
    <d v="2026-03-05T00:00:00"/>
    <x v="4"/>
    <s v="BluePeak Energy"/>
    <s v="LZ-HLC-520"/>
    <x v="2"/>
    <s v="Pharma Grade Polymer"/>
    <x v="2"/>
    <n v="2500"/>
    <n v="24.18"/>
    <n v="60450"/>
    <m/>
    <x v="2"/>
    <n v="22"/>
    <n v="3046.6"/>
    <s v="E. Martin"/>
    <s v="sample lot"/>
  </r>
  <r>
    <s v="ORD-0085"/>
    <d v="2026-04-24T00:00:00"/>
    <x v="0"/>
    <s v="Nova Personal Care"/>
    <s v="LZ-BLD-610"/>
    <x v="4"/>
    <s v="CPVC Performance Compound"/>
    <x v="4"/>
    <n v="1500"/>
    <n v="20.46"/>
    <n v="30690"/>
    <n v="80.5"/>
    <x v="2"/>
    <n v="10"/>
    <n v="1552.2"/>
    <s v="D. Chen"/>
    <m/>
  </r>
  <r>
    <s v="ORD-0086"/>
    <d v="2026-05-01T00:00:00"/>
    <x v="5"/>
    <s v="Orion Coatings"/>
    <s v="LZ-IND-210"/>
    <x v="0"/>
    <s v="Hydraulic Fluid Additive"/>
    <x v="4"/>
    <n v="3000"/>
    <n v="14.48"/>
    <n v="43440"/>
    <n v="98.4"/>
    <x v="0"/>
    <n v="34"/>
    <n v="4038.2"/>
    <s v="B. Lee"/>
    <s v="price review"/>
  </r>
  <r>
    <s v="ORD-0087"/>
    <d v="2026-09-08T00:00:00"/>
    <x v="5"/>
    <s v="Delta Electronics"/>
    <s v="LZ-IND-210"/>
    <x v="0"/>
    <s v="Hydraulic Fluid Additive"/>
    <x v="2"/>
    <n v="500"/>
    <n v="21.34"/>
    <n v="10670"/>
    <n v="82.7"/>
    <x v="1"/>
    <n v="23"/>
    <n v="820.5"/>
    <s v="A. Tan"/>
    <m/>
  </r>
  <r>
    <s v="ORD-0088"/>
    <d v="2026-07-03T00:00:00"/>
    <x v="3"/>
    <s v="Delta Electronics"/>
    <s v="LZ-BLD-610"/>
    <x v="4"/>
    <s v="CPVC Performance Compound"/>
    <x v="2"/>
    <n v="1250"/>
    <n v="27.32"/>
    <n v="34150"/>
    <n v="98.4"/>
    <x v="1"/>
    <n v="13"/>
    <n v="1786.3"/>
    <s v="E. Martin"/>
    <m/>
  </r>
  <r>
    <s v="ORD-0089"/>
    <d v="2026-06-20T00:00:00"/>
    <x v="1"/>
    <s v=" Orion Coatings  "/>
    <s v="LZ-TRN-101"/>
    <x v="7"/>
    <s v="Driveline Additive Package"/>
    <x v="1"/>
    <n v="1250"/>
    <n v="7.98"/>
    <n v="9975"/>
    <n v="94.5"/>
    <x v="2"/>
    <n v="21"/>
    <n v="1992.9"/>
    <s v="B. Lee"/>
    <s v="Customer requested COA"/>
  </r>
  <r>
    <s v="ORD-0090"/>
    <d v="2026-01-02T00:00:00"/>
    <x v="2"/>
    <s v="Orion Coatings"/>
    <s v="LZ-BPC-330"/>
    <x v="1"/>
    <s v="Rheology Modifier"/>
    <x v="0"/>
    <n v="1500"/>
    <n v="23.67"/>
    <n v="35505"/>
    <n v="80.400000000000006"/>
    <x v="2"/>
    <n v="16"/>
    <n v="1074.5"/>
    <s v="B. Lee"/>
    <s v="sample lot"/>
  </r>
  <r>
    <s v="ORD-0091"/>
    <d v="2026-01-09T00:00:00"/>
    <x v="1"/>
    <s v="Vertex Infrastructure"/>
    <s v="LZ-BLD-610"/>
    <x v="4"/>
    <s v="CPVC Performance Compound"/>
    <x v="3"/>
    <n v="1000"/>
    <n v="22.45"/>
    <n v="22450"/>
    <n v="89.3"/>
    <x v="2"/>
    <n v="38"/>
    <n v="1193.0999999999999"/>
    <s v="C. Kumar"/>
    <s v="sample lot"/>
  </r>
  <r>
    <s v="ORD-0092"/>
    <d v="2026-08-20T00:00:00"/>
    <x v="5"/>
    <s v="Summit Healthcare"/>
    <s v="LZ-IND-210"/>
    <x v="0"/>
    <s v="Hydraulic Fluid Additive"/>
    <x v="1"/>
    <n v="500"/>
    <n v="22.14"/>
    <n v="11070"/>
    <n v="97.5"/>
    <x v="0"/>
    <n v="27"/>
    <n v="601.9"/>
    <s v="A. Tan"/>
    <m/>
  </r>
  <r>
    <s v="ORD-0093"/>
    <d v="2026-07-25T00:00:00"/>
    <x v="4"/>
    <s v="Nova Personal Care"/>
    <s v="LZ-ELC-810"/>
    <x v="5"/>
    <s v="Thermal Management Fluid"/>
    <x v="4"/>
    <n v="3000"/>
    <n v="8.08"/>
    <n v="24240"/>
    <n v="79.7"/>
    <x v="0"/>
    <n v="17"/>
    <n v="2316.8000000000002"/>
    <s v="C. Kumar"/>
    <s v="sample lot"/>
  </r>
  <r>
    <s v="ORD-0094"/>
    <d v="2026-07-15T00:00:00"/>
    <x v="5"/>
    <s v="Vertex Infrastructure"/>
    <s v="LZ-BLD-610"/>
    <x v="4"/>
    <s v="CPVC Performance Compound"/>
    <x v="4"/>
    <n v="2500"/>
    <n v="8.6300000000000008"/>
    <n v="21575"/>
    <n v="93.1"/>
    <x v="0"/>
    <n v="21"/>
    <n v="2932.7"/>
    <s v="B. Lee"/>
    <s v="price review"/>
  </r>
  <r>
    <s v="ORD-0095"/>
    <d v="2026-08-21T00:00:00"/>
    <x v="4"/>
    <s v="Delta Electronics"/>
    <s v="LZ-BLD-610"/>
    <x v="4"/>
    <s v="CPVC Performance Compound"/>
    <x v="3"/>
    <n v="2000"/>
    <n v="15.68"/>
    <n v="31360"/>
    <n v="92.3"/>
    <x v="2"/>
    <n v="17"/>
    <n v="2911"/>
    <s v="D. Chen"/>
    <s v="N/A"/>
  </r>
  <r>
    <s v="ORD-0096"/>
    <d v="2026-02-13T00:00:00"/>
    <x v="3"/>
    <s v="Delta Electronics"/>
    <s v="LZ-IND-210"/>
    <x v="0"/>
    <s v="Hydraulic Fluid Additive"/>
    <x v="3"/>
    <n v="2000"/>
    <n v="23.95"/>
    <n v="47900"/>
    <n v="90"/>
    <x v="0"/>
    <n v="29"/>
    <n v="2874"/>
    <s v="D. Chen"/>
    <s v="Customer requested COA"/>
  </r>
  <r>
    <s v="ORD-0097"/>
    <d v="2026-01-27T00:00:00"/>
    <x v="2"/>
    <s v="Vertex Infrastructure"/>
    <s v="LZ-ENE-710"/>
    <x v="6"/>
    <s v="Industrial Lubricant Additive"/>
    <x v="2"/>
    <n v="750"/>
    <n v="18.93"/>
    <n v="14197.5"/>
    <n v="82.6"/>
    <x v="1"/>
    <n v="22"/>
    <n v="1224"/>
    <s v="C. Kumar"/>
    <s v="sample lot"/>
  </r>
  <r>
    <s v="ORD-0098"/>
    <d v="2026-02-28T00:00:00"/>
    <x v="2"/>
    <s v="Summit Healthcare"/>
    <s v="LZ-BLD-610"/>
    <x v="4"/>
    <s v="CPVC Performance Compound"/>
    <x v="4"/>
    <n v="500"/>
    <n v="19.59"/>
    <n v="9795"/>
    <n v="92.1"/>
    <x v="2"/>
    <n v="9"/>
    <n v="449.2"/>
    <s v="C. Kumar"/>
    <s v="Customer requested COA"/>
  </r>
  <r>
    <s v="ORD-0099"/>
    <d v="2026-01-04T00:00:00"/>
    <x v="1"/>
    <s v="Orion Coatings"/>
    <s v="LZ-BLD-610"/>
    <x v="4"/>
    <s v="CPVC Performance Compound"/>
    <x v="1"/>
    <n v="2500"/>
    <n v="8"/>
    <n v="20000"/>
    <n v="93.9"/>
    <x v="2"/>
    <n v="13"/>
    <n v="3801.8"/>
    <s v="B. Lee"/>
    <s v="price review"/>
  </r>
  <r>
    <s v="ORD-0100"/>
    <d v="2026-08-21T00:00:00"/>
    <x v="2"/>
    <s v="Orion Coatings"/>
    <s v="LZ-ENE-710"/>
    <x v="6"/>
    <s v="Industrial Lubricant Additive"/>
    <x v="2"/>
    <n v="1500"/>
    <n v="22.01"/>
    <n v="33015"/>
    <n v="94.7"/>
    <x v="0"/>
    <n v="13"/>
    <n v="2507.5"/>
    <s v="B. Lee"/>
    <s v="rush order"/>
  </r>
  <r>
    <s v="ORD-0101"/>
    <d v="2026-02-11T00:00:00"/>
    <x v="2"/>
    <s v="Metro Industrial"/>
    <s v="LZ-TRN-101"/>
    <x v="7"/>
    <s v="Driveline Additive Package"/>
    <x v="4"/>
    <n v="3000"/>
    <n v="19.55"/>
    <n v="58650"/>
    <n v="86.9"/>
    <x v="2"/>
    <n v="40"/>
    <n v="2475.6"/>
    <s v="D. Chen"/>
    <m/>
  </r>
  <r>
    <s v="ORD-0102"/>
    <d v="2026-09-07T00:00:00"/>
    <x v="5"/>
    <s v="Vertex Infrastructure"/>
    <s v="LZ-HLC-520"/>
    <x v="2"/>
    <s v="Pharma Grade Polymer"/>
    <x v="3"/>
    <n v="1250"/>
    <n v="15"/>
    <n v="18750"/>
    <n v="90.9"/>
    <x v="2"/>
    <n v="21"/>
    <n v="1289.5"/>
    <s v="B. Lee"/>
    <s v="rush order"/>
  </r>
  <r>
    <s v="ORD-0103"/>
    <d v="2026-05-29T00:00:00"/>
    <x v="2"/>
    <s v="Nova Personal Care"/>
    <s v="LZ-HLC-520"/>
    <x v="2"/>
    <s v="Pharma Grade Polymer"/>
    <x v="3"/>
    <n v="3000"/>
    <n v="22.56"/>
    <n v="67680"/>
    <n v="81.8"/>
    <x v="1"/>
    <n v="42"/>
    <n v="4422.1000000000004"/>
    <s v="E. Martin"/>
    <s v="sample lot"/>
  </r>
  <r>
    <s v="ORD-0104"/>
    <d v="2026-02-06T00:00:00"/>
    <x v="4"/>
    <s v="Apex Mobility"/>
    <s v="LZ-BLD-610"/>
    <x v="4"/>
    <s v="CPVC Performance Compound"/>
    <x v="4"/>
    <n v="500"/>
    <n v="16.38"/>
    <n v="8190"/>
    <n v="79.7"/>
    <x v="2"/>
    <n v="35"/>
    <n v="665.4"/>
    <s v="D. Chen"/>
    <s v="Customer requested COA"/>
  </r>
  <r>
    <s v="ORD-0105"/>
    <d v="2026-07-27T00:00:00"/>
    <x v="3"/>
    <s v="BluePeak Energy"/>
    <s v="LZ-IND-210"/>
    <x v="0"/>
    <s v="Hydraulic Fluid Additive"/>
    <x v="0"/>
    <n v="3000"/>
    <n v="24.39"/>
    <n v="73170"/>
    <n v="97.8"/>
    <x v="2"/>
    <n v="35"/>
    <n v="4886.8"/>
    <s v="B. Lee"/>
    <s v="price review"/>
  </r>
  <r>
    <s v="ORD-0106"/>
    <d v="2026-09-26T00:00:00"/>
    <x v="3"/>
    <s v="Delta Electronics"/>
    <s v="LZ-ENE-710"/>
    <x v="6"/>
    <s v="Industrial Lubricant Additive"/>
    <x v="2"/>
    <n v="2000"/>
    <n v="11.26"/>
    <n v="22520"/>
    <n v="94.8"/>
    <x v="2"/>
    <n v="40"/>
    <n v="2793.1"/>
    <s v="E. Martin"/>
    <s v="sample lot"/>
  </r>
  <r>
    <s v="ORD-0107"/>
    <d v="2026-06-28T00:00:00"/>
    <x v="2"/>
    <s v="Orion Coatings"/>
    <s v="LZ-COA-415"/>
    <x v="3"/>
    <s v="Dispersant Polymer"/>
    <x v="0"/>
    <n v="750"/>
    <n v="9.65"/>
    <n v="7237.5"/>
    <n v="82.2"/>
    <x v="0"/>
    <n v="17"/>
    <n v="1152.2"/>
    <s v="A. Tan"/>
    <s v="rush order"/>
  </r>
  <r>
    <s v="ORD-0108"/>
    <d v="2026-08-26T00:00:00"/>
    <x v="5"/>
    <s v="Metro Industrial"/>
    <s v="LZ-ELC-810"/>
    <x v="5"/>
    <s v="Thermal Management Fluid"/>
    <x v="1"/>
    <n v="2000"/>
    <n v="25.08"/>
    <n v="50160"/>
    <n v="91.5"/>
    <x v="2"/>
    <n v="36"/>
    <n v="1550.2"/>
    <s v="D. Chen"/>
    <m/>
  </r>
  <r>
    <s v="ORD-0109"/>
    <d v="2026-05-21T00:00:00"/>
    <x v="5"/>
    <s v="Apex Mobility"/>
    <s v="LZ-HLC-520"/>
    <x v="2"/>
    <s v="Pharma Grade Polymer"/>
    <x v="2"/>
    <n v="750"/>
    <n v="13.17"/>
    <n v="9877.5"/>
    <n v="87.7"/>
    <x v="2"/>
    <n v="31"/>
    <n v="1211.0999999999999"/>
    <s v="A. Tan"/>
    <m/>
  </r>
  <r>
    <s v="ORD-0110"/>
    <d v="2026-09-17T00:00:00"/>
    <x v="4"/>
    <s v="Metro Industrial"/>
    <s v="LZ-IND-210"/>
    <x v="0"/>
    <s v="Hydraulic Fluid Additive"/>
    <x v="1"/>
    <n v="500"/>
    <n v="16.170000000000002"/>
    <n v="8085"/>
    <n v="95.4"/>
    <x v="2"/>
    <n v="28"/>
    <n v="682.8"/>
    <s v="E. Martin"/>
    <s v="rush order"/>
  </r>
  <r>
    <s v="ORD-0111"/>
    <d v="2026-08-19T00:00:00"/>
    <x v="3"/>
    <s v="BluePeak Energy"/>
    <s v="LZ-TRN-101"/>
    <x v="7"/>
    <s v="Driveline Additive Package"/>
    <x v="3"/>
    <n v="1000"/>
    <n v="7.34"/>
    <n v="7340"/>
    <n v="93.2"/>
    <x v="1"/>
    <n v="41"/>
    <n v="1275"/>
    <s v="B. Lee"/>
    <s v="Customer requested COA"/>
  </r>
  <r>
    <s v="ORD-0112"/>
    <d v="2026-05-25T00:00:00"/>
    <x v="4"/>
    <s v="Delta Electronics"/>
    <s v="LZ-BLD-610"/>
    <x v="4"/>
    <s v="CPVC Performance Compound"/>
    <x v="2"/>
    <n v="500"/>
    <n v="23.47"/>
    <n v="11735"/>
    <n v="91.9"/>
    <x v="2"/>
    <n v="29"/>
    <n v="402"/>
    <s v="D. Chen"/>
    <s v="Customer requested COA"/>
  </r>
  <r>
    <s v="ORD-0113"/>
    <d v="2026-03-18T00:00:00"/>
    <x v="2"/>
    <s v="Nova Personal Care"/>
    <s v="LZ-HLC-520"/>
    <x v="2"/>
    <s v="Pharma Grade Polymer"/>
    <x v="1"/>
    <n v="1000"/>
    <n v="26.21"/>
    <n v="26210"/>
    <n v="84.7"/>
    <x v="1"/>
    <n v="16"/>
    <n v="1354.5"/>
    <s v="A. Tan"/>
    <s v="Customer requested COA"/>
  </r>
  <r>
    <s v="ORD-0114"/>
    <d v="2026-06-18T00:00:00"/>
    <x v="1"/>
    <s v="Nova Personal Care"/>
    <s v="LZ-ENE-710"/>
    <x v="6"/>
    <s v="Industrial Lubricant Additive"/>
    <x v="4"/>
    <n v="2000"/>
    <n v="6.89"/>
    <n v="13780"/>
    <n v="84.6"/>
    <x v="2"/>
    <n v="29"/>
    <n v="3484.9"/>
    <s v="D. Chen"/>
    <s v="rush order"/>
  </r>
  <r>
    <s v="ORD-0115"/>
    <d v="2026-03-12T00:00:00"/>
    <x v="1"/>
    <s v="Nova Personal Care"/>
    <s v="LZ-COA-415"/>
    <x v="3"/>
    <s v="Dispersant Polymer"/>
    <x v="2"/>
    <n v="750"/>
    <n v="17.420000000000002"/>
    <n v="13065"/>
    <n v="89.6"/>
    <x v="0"/>
    <n v="10"/>
    <n v="1071.0999999999999"/>
    <s v="E. Martin"/>
    <s v="rush order"/>
  </r>
  <r>
    <s v="ORD-0116"/>
    <d v="2026-03-20T00:00:00"/>
    <x v="1"/>
    <s v="Orion Coatings"/>
    <s v="LZ-ENE-710"/>
    <x v="6"/>
    <s v="Industrial Lubricant Additive"/>
    <x v="1"/>
    <n v="1000"/>
    <n v="22.01"/>
    <n v="22010"/>
    <n v="78.900000000000006"/>
    <x v="2"/>
    <n v="23"/>
    <n v="1766.5"/>
    <s v="E. Martin"/>
    <s v="Customer requested COA"/>
  </r>
  <r>
    <s v="ORD-0117"/>
    <d v="2026-04-30T00:00:00"/>
    <x v="5"/>
    <s v="Summit Healthcare"/>
    <s v="LZ-ELC-810"/>
    <x v="5"/>
    <s v="Thermal Management Fluid"/>
    <x v="2"/>
    <n v="3000"/>
    <n v="25.94"/>
    <n v="77820"/>
    <n v="82.2"/>
    <x v="0"/>
    <n v="36"/>
    <n v="3623.5"/>
    <s v="C. Kumar"/>
    <s v="price review"/>
  </r>
  <r>
    <s v="ORD-0118"/>
    <d v="2026-03-24T00:00:00"/>
    <x v="1"/>
    <s v="Orion Coatings"/>
    <s v="LZ-ENE-710"/>
    <x v="6"/>
    <s v="Industrial Lubricant Additive"/>
    <x v="2"/>
    <n v="500"/>
    <n v="20.29"/>
    <n v="10145"/>
    <n v="96.8"/>
    <x v="0"/>
    <n v="14"/>
    <n v="741.3"/>
    <s v="E. Martin"/>
    <m/>
  </r>
  <r>
    <s v="ORD-0119"/>
    <d v="2026-02-12T00:00:00"/>
    <x v="1"/>
    <s v="Vertex Infrastructure"/>
    <s v="LZ-HLC-520"/>
    <x v="2"/>
    <s v="Pharma Grade Polymer"/>
    <x v="4"/>
    <n v="1000"/>
    <n v="24.37"/>
    <n v="24370"/>
    <n v="80"/>
    <x v="2"/>
    <n v="36"/>
    <n v="1673.1"/>
    <s v="A. Tan"/>
    <s v="price review"/>
  </r>
  <r>
    <s v="ORD-0120"/>
    <d v="2026-07-22T00:00:00"/>
    <x v="5"/>
    <s v="BluePeak Energy"/>
    <s v="LZ-TRN-101"/>
    <x v="7"/>
    <s v="Driveline Additive Package"/>
    <x v="0"/>
    <n v="2500"/>
    <n v="27.88"/>
    <n v="69700"/>
    <n v="86.1"/>
    <x v="2"/>
    <n v="28"/>
    <n v="4309.8"/>
    <s v="C. Kumar"/>
    <s v="rush orde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6B2C89-C628-4AD9-950B-6CC260C9B617}" name="OrdersPivot" cacheId="2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2">
  <location ref="A10:B16" firstHeaderRow="1" firstDataRow="1" firstDataCol="1"/>
  <pivotFields count="17">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axis="axisRow" compact="0" outline="0" showAll="0" defaultSubtotal="0">
      <items count="6">
        <item x="0"/>
        <item x="1"/>
        <item x="4"/>
        <item x="2"/>
        <item x="5"/>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8">
        <item x="1"/>
        <item x="4"/>
        <item x="3"/>
        <item x="5"/>
        <item x="6"/>
        <item x="2"/>
        <item x="0"/>
        <item x="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2"/>
        <item x="3"/>
        <item x="4"/>
        <item x="1"/>
        <item x="0"/>
      </items>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dataField="1" compact="0" numFmtId="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x="0"/>
        <item x="1"/>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2"/>
  </rowFields>
  <rowItems count="6">
    <i>
      <x/>
    </i>
    <i>
      <x v="1"/>
    </i>
    <i>
      <x v="2"/>
    </i>
    <i>
      <x v="3"/>
    </i>
    <i>
      <x v="4"/>
    </i>
    <i>
      <x v="5"/>
    </i>
  </rowItems>
  <colItems count="1">
    <i/>
  </colItems>
  <dataFields count="1">
    <dataField name="Revenue USD" fld="10" baseField="0" baseItem="0" numFmtId="167"/>
  </dataFields>
  <formats count="10">
    <format dxfId="261">
      <pivotArea type="all" dataOnly="0" outline="0" fieldPosition="0"/>
    </format>
    <format dxfId="260">
      <pivotArea outline="0" collapsedLevelsAreSubtotals="1" fieldPosition="0"/>
    </format>
    <format dxfId="259">
      <pivotArea field="2" type="button" dataOnly="0" labelOnly="1" outline="0" axis="axisRow" fieldPosition="0"/>
    </format>
    <format dxfId="258">
      <pivotArea dataOnly="0" labelOnly="1" outline="0" fieldPosition="0">
        <references count="1">
          <reference field="2" count="0"/>
        </references>
      </pivotArea>
    </format>
    <format dxfId="257">
      <pivotArea dataOnly="0" labelOnly="1" outline="0" axis="axisValues" fieldPosition="0"/>
    </format>
    <format dxfId="255">
      <pivotArea type="all" dataOnly="0" outline="0" fieldPosition="0"/>
    </format>
    <format dxfId="254">
      <pivotArea outline="0" collapsedLevelsAreSubtotals="1" fieldPosition="0"/>
    </format>
    <format dxfId="253">
      <pivotArea field="2" type="button" dataOnly="0" labelOnly="1" outline="0" axis="axisRow" fieldPosition="0"/>
    </format>
    <format dxfId="252">
      <pivotArea dataOnly="0" labelOnly="1" outline="0" fieldPosition="0">
        <references count="1">
          <reference field="2" count="0"/>
        </references>
      </pivotArea>
    </format>
    <format dxfId="25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E97C94A-36D9-4FF6-B6F6-691DF8233DDD}" sourceName="Region">
  <pivotTables>
    <pivotTable tabId="19" name="OrdersPivot"/>
  </pivotTables>
  <data>
    <tabular pivotCacheId="91232808">
      <items count="6">
        <i x="0" s="1"/>
        <i x="1" s="1"/>
        <i x="4" s="1"/>
        <i x="2" s="1"/>
        <i x="5"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_Segment" xr10:uid="{29BA6320-424F-4F82-9B61-F8B6E9287295}" sourceName="Business Segment">
  <pivotTables>
    <pivotTable tabId="19" name="OrdersPivot"/>
  </pivotTables>
  <data>
    <tabular pivotCacheId="91232808">
      <items count="8">
        <i x="1" s="1"/>
        <i x="4" s="1"/>
        <i x="3" s="1"/>
        <i x="5" s="1"/>
        <i x="6" s="1"/>
        <i x="2" s="1"/>
        <i x="0"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t" xr10:uid="{52604999-523E-4E69-88F4-30E81510E60E}" sourceName="Plant">
  <pivotTables>
    <pivotTable tabId="19" name="OrdersPivot"/>
  </pivotTables>
  <data>
    <tabular pivotCacheId="91232808">
      <items count="5">
        <i x="2" s="1"/>
        <i x="3" s="1"/>
        <i x="4"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134F1F58-0824-4AD3-B45B-759EC8DC6FCE}" sourceName="Delivery Status">
  <pivotTables>
    <pivotTable tabId="19" name="OrdersPivot"/>
  </pivotTables>
  <data>
    <tabular pivotCacheId="91232808">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Slicer" xr10:uid="{88CDC63C-A046-45F9-88B1-1BD72669456C}" cache="Slicer_Region" caption="Region" style="SlicerStyleLight2" rowHeight="241300"/>
  <slicer name="Business Segment Slicer" xr10:uid="{AE276A20-C87F-4F3E-BABB-57B258793A28}" cache="Slicer_Business_Segment" caption="Business Segment" style="SlicerStyleLight2" rowHeight="241300"/>
  <slicer name="Plant Slicer" xr10:uid="{C276DC8D-9656-46C0-9144-C388C093F9B8}" cache="Slicer_Plant" caption="Plant" style="SlicerStyleLight2" rowHeight="241300"/>
  <slicer name="Delivery Status Slicer" xr10:uid="{9071A3E6-1154-4D9E-B629-5ACD83BA80B6}" cache="Slicer_Delivery_Status" caption="Delivery Status"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awOrders" displayName="RawOrders" ref="A1:Q121">
  <autoFilter ref="A1:Q121" xr:uid="{00000000-0009-0000-0100-000001000000}"/>
  <tableColumns count="17">
    <tableColumn id="1" xr3:uid="{00000000-0010-0000-0000-000001000000}" name="Order ID"/>
    <tableColumn id="2" xr3:uid="{00000000-0010-0000-0000-000002000000}" name="Order Date"/>
    <tableColumn id="3" xr3:uid="{00000000-0010-0000-0000-000003000000}" name="Region"/>
    <tableColumn id="4" xr3:uid="{00000000-0010-0000-0000-000004000000}" name="Customer"/>
    <tableColumn id="5" xr3:uid="{00000000-0010-0000-0000-000005000000}" name="Product Code"/>
    <tableColumn id="6" xr3:uid="{00000000-0010-0000-0000-000006000000}" name="Business Segment"/>
    <tableColumn id="7" xr3:uid="{00000000-0010-0000-0000-000007000000}" name="Product Description"/>
    <tableColumn id="8" xr3:uid="{00000000-0010-0000-0000-000008000000}" name="Plant"/>
    <tableColumn id="9" xr3:uid="{00000000-0010-0000-0000-000009000000}" name="Quantity kg"/>
    <tableColumn id="10" xr3:uid="{00000000-0010-0000-0000-00000A000000}" name="Unit Price USD"/>
    <tableColumn id="11" xr3:uid="{00000000-0010-0000-0000-00000B000000}" name="Revenue USD"/>
    <tableColumn id="12" xr3:uid="{00000000-0010-0000-0000-00000C000000}" name="Quality Score"/>
    <tableColumn id="13" xr3:uid="{00000000-0010-0000-0000-00000D000000}" name="Delivery Status"/>
    <tableColumn id="14" xr3:uid="{00000000-0010-0000-0000-00000E000000}" name="Lead Time Days"/>
    <tableColumn id="15" xr3:uid="{00000000-0010-0000-0000-00000F000000}" name="CO2e kg"/>
    <tableColumn id="16" xr3:uid="{00000000-0010-0000-0000-000010000000}" name="Sales Rep"/>
    <tableColumn id="17" xr3:uid="{00000000-0010-0000-0000-000011000000}" name="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21"/>
  <sheetViews>
    <sheetView tabSelected="1" topLeftCell="G1" workbookViewId="0">
      <pane ySplit="1" topLeftCell="A2" activePane="bottomLeft" state="frozen"/>
      <selection pane="bottomLeft" activeCell="P25" sqref="P25"/>
    </sheetView>
  </sheetViews>
  <sheetFormatPr defaultRowHeight="15" x14ac:dyDescent="0.25"/>
  <cols>
    <col min="1" max="1" width="13" customWidth="1"/>
    <col min="2" max="2" width="12" customWidth="1"/>
    <col min="3" max="3" width="19" customWidth="1"/>
    <col min="4" max="4" width="22" customWidth="1"/>
    <col min="5" max="5" width="15" customWidth="1"/>
    <col min="6" max="6" width="24" customWidth="1"/>
    <col min="7" max="7" width="30" customWidth="1"/>
    <col min="8" max="8" width="14" customWidth="1"/>
    <col min="9" max="9" width="13" customWidth="1"/>
    <col min="10" max="10" width="14" customWidth="1"/>
    <col min="11" max="11" width="15" customWidth="1"/>
    <col min="12" max="12" width="13" customWidth="1"/>
    <col min="13" max="13" width="16" customWidth="1"/>
    <col min="14" max="14" width="15" customWidth="1"/>
    <col min="15" max="15" width="13" customWidth="1"/>
    <col min="16" max="16" width="12" customWidth="1"/>
    <col min="17" max="17" width="25" customWidth="1"/>
  </cols>
  <sheetData>
    <row r="1" spans="1:1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5">
      <c r="A2" s="2" t="s">
        <v>17</v>
      </c>
      <c r="B2" s="3">
        <v>46035</v>
      </c>
      <c r="C2" s="2" t="s">
        <v>18</v>
      </c>
      <c r="D2" s="2" t="s">
        <v>19</v>
      </c>
      <c r="E2" s="2" t="s">
        <v>20</v>
      </c>
      <c r="F2" s="2" t="s">
        <v>21</v>
      </c>
      <c r="G2" s="2" t="s">
        <v>22</v>
      </c>
      <c r="H2" s="2" t="s">
        <v>23</v>
      </c>
      <c r="I2" s="4">
        <v>1250</v>
      </c>
      <c r="J2" s="4">
        <v>9.5</v>
      </c>
      <c r="K2" s="4">
        <v>11875</v>
      </c>
      <c r="L2" s="2">
        <v>80.2</v>
      </c>
      <c r="M2" s="2" t="s">
        <v>24</v>
      </c>
      <c r="N2" s="2">
        <v>13</v>
      </c>
      <c r="O2" s="2">
        <v>1686.9</v>
      </c>
      <c r="P2" s="2" t="s">
        <v>25</v>
      </c>
      <c r="Q2" s="2"/>
    </row>
    <row r="3" spans="1:17" x14ac:dyDescent="0.25">
      <c r="A3" s="2" t="s">
        <v>26</v>
      </c>
      <c r="B3" s="3">
        <v>46134</v>
      </c>
      <c r="C3" s="2" t="s">
        <v>27</v>
      </c>
      <c r="D3" s="2" t="s">
        <v>28</v>
      </c>
      <c r="E3" s="2" t="s">
        <v>20</v>
      </c>
      <c r="F3" s="2" t="s">
        <v>21</v>
      </c>
      <c r="G3" s="2" t="s">
        <v>22</v>
      </c>
      <c r="H3" s="2" t="s">
        <v>29</v>
      </c>
      <c r="I3" s="4">
        <v>1250</v>
      </c>
      <c r="J3" s="4">
        <v>21.89</v>
      </c>
      <c r="K3" s="4">
        <v>27362.5</v>
      </c>
      <c r="L3" s="2">
        <v>93.1</v>
      </c>
      <c r="M3" s="2" t="s">
        <v>30</v>
      </c>
      <c r="N3" s="2">
        <v>22</v>
      </c>
      <c r="O3" s="2">
        <v>1492.7</v>
      </c>
      <c r="P3" s="2" t="s">
        <v>31</v>
      </c>
      <c r="Q3" s="2"/>
    </row>
    <row r="4" spans="1:17" x14ac:dyDescent="0.25">
      <c r="A4" s="2" t="s">
        <v>32</v>
      </c>
      <c r="B4" s="3">
        <v>46239</v>
      </c>
      <c r="C4" s="2" t="s">
        <v>33</v>
      </c>
      <c r="D4" s="2" t="s">
        <v>19</v>
      </c>
      <c r="E4" s="2" t="s">
        <v>34</v>
      </c>
      <c r="F4" s="2" t="s">
        <v>35</v>
      </c>
      <c r="G4" s="2" t="s">
        <v>36</v>
      </c>
      <c r="H4" s="2" t="s">
        <v>23</v>
      </c>
      <c r="I4" s="4">
        <v>1250</v>
      </c>
      <c r="J4" s="4">
        <v>27.08</v>
      </c>
      <c r="K4" s="4">
        <v>33850</v>
      </c>
      <c r="L4" s="2">
        <v>85.2</v>
      </c>
      <c r="M4" s="2" t="s">
        <v>37</v>
      </c>
      <c r="N4" s="2">
        <v>32</v>
      </c>
      <c r="O4" s="2">
        <v>1008</v>
      </c>
      <c r="P4" s="2" t="s">
        <v>31</v>
      </c>
      <c r="Q4" s="2" t="s">
        <v>38</v>
      </c>
    </row>
    <row r="5" spans="1:17" x14ac:dyDescent="0.25">
      <c r="A5" s="2" t="s">
        <v>39</v>
      </c>
      <c r="B5" s="3">
        <v>46045</v>
      </c>
      <c r="C5" s="2" t="s">
        <v>18</v>
      </c>
      <c r="D5" s="2" t="s">
        <v>40</v>
      </c>
      <c r="E5" s="2" t="s">
        <v>41</v>
      </c>
      <c r="F5" s="2" t="s">
        <v>42</v>
      </c>
      <c r="G5" s="2" t="s">
        <v>43</v>
      </c>
      <c r="H5" s="2" t="s">
        <v>29</v>
      </c>
      <c r="I5" s="4">
        <v>750</v>
      </c>
      <c r="J5" s="4">
        <v>27.42</v>
      </c>
      <c r="K5" s="4">
        <v>20565</v>
      </c>
      <c r="L5" s="2">
        <v>86.1</v>
      </c>
      <c r="M5" s="2" t="s">
        <v>24</v>
      </c>
      <c r="N5" s="2">
        <v>26</v>
      </c>
      <c r="O5" s="2">
        <v>1209.3</v>
      </c>
      <c r="P5" s="2" t="s">
        <v>44</v>
      </c>
      <c r="Q5" s="2" t="s">
        <v>45</v>
      </c>
    </row>
    <row r="6" spans="1:17" x14ac:dyDescent="0.25">
      <c r="A6" s="2" t="s">
        <v>46</v>
      </c>
      <c r="B6" s="3">
        <v>46058</v>
      </c>
      <c r="C6" s="2" t="s">
        <v>47</v>
      </c>
      <c r="D6" s="2" t="s">
        <v>48</v>
      </c>
      <c r="E6" s="2" t="s">
        <v>49</v>
      </c>
      <c r="F6" s="2" t="s">
        <v>50</v>
      </c>
      <c r="G6" s="2" t="s">
        <v>51</v>
      </c>
      <c r="H6" s="2" t="s">
        <v>52</v>
      </c>
      <c r="I6" s="4">
        <v>750</v>
      </c>
      <c r="J6" s="4">
        <v>24.89</v>
      </c>
      <c r="K6" s="4">
        <v>18667.5</v>
      </c>
      <c r="L6" s="2">
        <v>96.6</v>
      </c>
      <c r="M6" s="2" t="s">
        <v>30</v>
      </c>
      <c r="N6" s="2">
        <v>25</v>
      </c>
      <c r="O6" s="2">
        <v>899.1</v>
      </c>
      <c r="P6" s="2" t="s">
        <v>31</v>
      </c>
      <c r="Q6" s="2" t="s">
        <v>53</v>
      </c>
    </row>
    <row r="7" spans="1:17" x14ac:dyDescent="0.25">
      <c r="A7" s="2" t="s">
        <v>54</v>
      </c>
      <c r="B7" s="3">
        <v>46204</v>
      </c>
      <c r="C7" s="2" t="s">
        <v>27</v>
      </c>
      <c r="D7" s="2" t="s">
        <v>19</v>
      </c>
      <c r="E7" s="2" t="s">
        <v>55</v>
      </c>
      <c r="F7" s="2" t="s">
        <v>56</v>
      </c>
      <c r="G7" s="2" t="s">
        <v>57</v>
      </c>
      <c r="H7" s="2" t="s">
        <v>58</v>
      </c>
      <c r="I7" s="4">
        <v>1000</v>
      </c>
      <c r="J7" s="4">
        <v>17.98</v>
      </c>
      <c r="K7" s="4">
        <v>17980</v>
      </c>
      <c r="L7" s="2">
        <v>83.3</v>
      </c>
      <c r="M7" s="2" t="s">
        <v>30</v>
      </c>
      <c r="N7" s="2">
        <v>32</v>
      </c>
      <c r="O7" s="2">
        <v>996.9</v>
      </c>
      <c r="P7" s="2" t="s">
        <v>44</v>
      </c>
      <c r="Q7" s="2" t="s">
        <v>53</v>
      </c>
    </row>
    <row r="8" spans="1:17" x14ac:dyDescent="0.25">
      <c r="A8" s="2" t="s">
        <v>59</v>
      </c>
      <c r="B8" s="3">
        <v>46051</v>
      </c>
      <c r="C8" s="2" t="s">
        <v>27</v>
      </c>
      <c r="D8" s="2" t="s">
        <v>60</v>
      </c>
      <c r="E8" s="2" t="s">
        <v>55</v>
      </c>
      <c r="F8" s="2" t="s">
        <v>56</v>
      </c>
      <c r="G8" s="2" t="s">
        <v>57</v>
      </c>
      <c r="H8" s="2" t="s">
        <v>52</v>
      </c>
      <c r="I8" s="4">
        <v>2500</v>
      </c>
      <c r="J8" s="4">
        <v>12.26</v>
      </c>
      <c r="K8" s="4">
        <v>30650</v>
      </c>
      <c r="L8" s="2">
        <v>82.5</v>
      </c>
      <c r="M8" s="2" t="s">
        <v>24</v>
      </c>
      <c r="N8" s="2">
        <v>28</v>
      </c>
      <c r="O8" s="2">
        <v>2334.6999999999998</v>
      </c>
      <c r="P8" s="2" t="s">
        <v>61</v>
      </c>
      <c r="Q8" s="2" t="s">
        <v>62</v>
      </c>
    </row>
    <row r="9" spans="1:17" x14ac:dyDescent="0.25">
      <c r="A9" s="2" t="s">
        <v>63</v>
      </c>
      <c r="B9" s="3">
        <v>46096</v>
      </c>
      <c r="C9" s="2" t="s">
        <v>33</v>
      </c>
      <c r="D9" s="2" t="s">
        <v>64</v>
      </c>
      <c r="E9" s="2" t="s">
        <v>65</v>
      </c>
      <c r="F9" s="2" t="s">
        <v>66</v>
      </c>
      <c r="G9" s="2" t="s">
        <v>67</v>
      </c>
      <c r="H9" s="2" t="s">
        <v>23</v>
      </c>
      <c r="I9" s="4">
        <v>1500</v>
      </c>
      <c r="J9" s="4">
        <v>22.56</v>
      </c>
      <c r="K9" s="4">
        <v>33840</v>
      </c>
      <c r="L9" s="2">
        <v>87.2</v>
      </c>
      <c r="M9" s="2" t="s">
        <v>24</v>
      </c>
      <c r="N9" s="2">
        <v>33</v>
      </c>
      <c r="O9" s="2">
        <v>1647.3</v>
      </c>
      <c r="P9" s="2" t="s">
        <v>68</v>
      </c>
      <c r="Q9" s="2" t="s">
        <v>38</v>
      </c>
    </row>
    <row r="10" spans="1:17" x14ac:dyDescent="0.25">
      <c r="A10" s="2" t="s">
        <v>69</v>
      </c>
      <c r="B10" s="3">
        <v>46069</v>
      </c>
      <c r="C10" s="2" t="s">
        <v>47</v>
      </c>
      <c r="D10" s="2" t="s">
        <v>70</v>
      </c>
      <c r="E10" s="2" t="s">
        <v>65</v>
      </c>
      <c r="F10" s="2" t="s">
        <v>66</v>
      </c>
      <c r="G10" s="2" t="s">
        <v>67</v>
      </c>
      <c r="H10" s="2" t="s">
        <v>23</v>
      </c>
      <c r="I10" s="4">
        <v>1000</v>
      </c>
      <c r="J10" s="4">
        <v>23.53</v>
      </c>
      <c r="K10" s="4">
        <v>23530</v>
      </c>
      <c r="L10" s="2">
        <v>87.1</v>
      </c>
      <c r="M10" s="2" t="s">
        <v>37</v>
      </c>
      <c r="N10" s="2">
        <v>32</v>
      </c>
      <c r="O10" s="2">
        <v>1119.8</v>
      </c>
      <c r="P10" s="2" t="s">
        <v>61</v>
      </c>
      <c r="Q10" s="2" t="s">
        <v>38</v>
      </c>
    </row>
    <row r="11" spans="1:17" x14ac:dyDescent="0.25">
      <c r="A11" s="2" t="s">
        <v>71</v>
      </c>
      <c r="B11" s="3">
        <v>46028</v>
      </c>
      <c r="C11" s="2" t="s">
        <v>18</v>
      </c>
      <c r="D11" s="2" t="s">
        <v>70</v>
      </c>
      <c r="E11" s="2" t="s">
        <v>41</v>
      </c>
      <c r="F11" s="2" t="s">
        <v>42</v>
      </c>
      <c r="G11" s="2" t="s">
        <v>43</v>
      </c>
      <c r="H11" s="2" t="s">
        <v>29</v>
      </c>
      <c r="I11" s="4">
        <v>1500</v>
      </c>
      <c r="J11" s="4">
        <v>23.02</v>
      </c>
      <c r="K11" s="4">
        <v>34530</v>
      </c>
      <c r="L11" s="2">
        <v>85.3</v>
      </c>
      <c r="M11" s="2" t="s">
        <v>37</v>
      </c>
      <c r="N11" s="2">
        <v>35</v>
      </c>
      <c r="O11" s="2">
        <v>1311</v>
      </c>
      <c r="P11" s="2" t="s">
        <v>25</v>
      </c>
      <c r="Q11" s="2"/>
    </row>
    <row r="12" spans="1:17" x14ac:dyDescent="0.25">
      <c r="A12" s="2" t="s">
        <v>72</v>
      </c>
      <c r="B12" s="3">
        <v>46279</v>
      </c>
      <c r="C12" s="2" t="s">
        <v>27</v>
      </c>
      <c r="D12" s="2" t="s">
        <v>70</v>
      </c>
      <c r="E12" s="2" t="s">
        <v>41</v>
      </c>
      <c r="F12" s="2" t="s">
        <v>42</v>
      </c>
      <c r="G12" s="2" t="s">
        <v>43</v>
      </c>
      <c r="H12" s="2" t="s">
        <v>52</v>
      </c>
      <c r="I12" s="4">
        <v>1250</v>
      </c>
      <c r="J12" s="4">
        <v>9.7899999999999991</v>
      </c>
      <c r="K12" s="4">
        <v>12237.5</v>
      </c>
      <c r="L12" s="2">
        <v>94.4</v>
      </c>
      <c r="M12" s="2" t="s">
        <v>24</v>
      </c>
      <c r="N12" s="2">
        <v>41</v>
      </c>
      <c r="O12" s="2">
        <v>2137.9</v>
      </c>
      <c r="P12" s="2" t="s">
        <v>44</v>
      </c>
      <c r="Q12" s="2" t="s">
        <v>45</v>
      </c>
    </row>
    <row r="13" spans="1:17" x14ac:dyDescent="0.25">
      <c r="A13" s="2" t="s">
        <v>73</v>
      </c>
      <c r="B13" s="3">
        <v>46032</v>
      </c>
      <c r="C13" s="2" t="s">
        <v>47</v>
      </c>
      <c r="D13" s="2" t="s">
        <v>74</v>
      </c>
      <c r="E13" s="2" t="s">
        <v>65</v>
      </c>
      <c r="F13" s="2" t="s">
        <v>66</v>
      </c>
      <c r="G13" s="2" t="s">
        <v>67</v>
      </c>
      <c r="H13" s="2" t="s">
        <v>52</v>
      </c>
      <c r="I13" s="4">
        <v>1250</v>
      </c>
      <c r="J13" s="4">
        <v>7.75</v>
      </c>
      <c r="K13" s="4">
        <v>9687.5</v>
      </c>
      <c r="L13" s="2">
        <v>96.9</v>
      </c>
      <c r="M13" s="2" t="s">
        <v>37</v>
      </c>
      <c r="N13" s="2">
        <v>13</v>
      </c>
      <c r="O13" s="2">
        <v>1881.4</v>
      </c>
      <c r="P13" s="2" t="s">
        <v>25</v>
      </c>
      <c r="Q13" s="2" t="s">
        <v>38</v>
      </c>
    </row>
    <row r="14" spans="1:17" x14ac:dyDescent="0.25">
      <c r="A14" s="2" t="s">
        <v>75</v>
      </c>
      <c r="B14" s="3">
        <v>46088</v>
      </c>
      <c r="C14" s="2" t="s">
        <v>76</v>
      </c>
      <c r="D14" s="2" t="s">
        <v>40</v>
      </c>
      <c r="E14" s="2" t="s">
        <v>34</v>
      </c>
      <c r="F14" s="2" t="s">
        <v>35</v>
      </c>
      <c r="G14" s="2" t="s">
        <v>36</v>
      </c>
      <c r="H14" s="2" t="s">
        <v>29</v>
      </c>
      <c r="I14" s="4">
        <v>1000</v>
      </c>
      <c r="J14" s="4">
        <v>12.2</v>
      </c>
      <c r="K14" s="4">
        <v>12200</v>
      </c>
      <c r="L14" s="2">
        <v>96.8</v>
      </c>
      <c r="M14" s="2" t="s">
        <v>30</v>
      </c>
      <c r="N14" s="2">
        <v>21</v>
      </c>
      <c r="O14" s="2">
        <v>1721.8</v>
      </c>
      <c r="P14" s="2" t="s">
        <v>68</v>
      </c>
      <c r="Q14" s="2"/>
    </row>
    <row r="15" spans="1:17" x14ac:dyDescent="0.25">
      <c r="A15" s="2" t="s">
        <v>77</v>
      </c>
      <c r="B15" s="3">
        <v>46227</v>
      </c>
      <c r="C15" s="2" t="s">
        <v>18</v>
      </c>
      <c r="D15" s="2" t="s">
        <v>74</v>
      </c>
      <c r="E15" s="2" t="s">
        <v>41</v>
      </c>
      <c r="F15" s="2" t="s">
        <v>42</v>
      </c>
      <c r="G15" s="2" t="s">
        <v>43</v>
      </c>
      <c r="H15" s="2" t="s">
        <v>78</v>
      </c>
      <c r="I15" s="4">
        <v>3000</v>
      </c>
      <c r="J15" s="4">
        <v>9.1</v>
      </c>
      <c r="K15" s="4">
        <v>27300</v>
      </c>
      <c r="L15" s="2">
        <v>82.8</v>
      </c>
      <c r="M15" s="2" t="s">
        <v>37</v>
      </c>
      <c r="N15" s="2">
        <v>9</v>
      </c>
      <c r="O15" s="2">
        <v>4041.4</v>
      </c>
      <c r="P15" s="2" t="s">
        <v>68</v>
      </c>
      <c r="Q15" s="2" t="s">
        <v>38</v>
      </c>
    </row>
    <row r="16" spans="1:17" x14ac:dyDescent="0.25">
      <c r="A16" s="2" t="s">
        <v>79</v>
      </c>
      <c r="B16" s="3">
        <v>46026</v>
      </c>
      <c r="C16" s="2" t="s">
        <v>47</v>
      </c>
      <c r="D16" s="2" t="s">
        <v>28</v>
      </c>
      <c r="E16" s="2" t="s">
        <v>49</v>
      </c>
      <c r="F16" s="2" t="s">
        <v>50</v>
      </c>
      <c r="G16" s="2" t="s">
        <v>51</v>
      </c>
      <c r="H16" s="2" t="s">
        <v>23</v>
      </c>
      <c r="I16" s="4">
        <v>750</v>
      </c>
      <c r="J16" s="4">
        <v>25.97</v>
      </c>
      <c r="K16" s="4">
        <v>19477.5</v>
      </c>
      <c r="L16" s="2">
        <v>96.5</v>
      </c>
      <c r="M16" s="2" t="s">
        <v>37</v>
      </c>
      <c r="N16" s="2">
        <v>40</v>
      </c>
      <c r="O16" s="2">
        <v>721.4</v>
      </c>
      <c r="P16" s="2" t="s">
        <v>61</v>
      </c>
      <c r="Q16" s="2" t="s">
        <v>53</v>
      </c>
    </row>
    <row r="17" spans="1:17" x14ac:dyDescent="0.25">
      <c r="A17" s="2" t="s">
        <v>80</v>
      </c>
      <c r="B17" s="3">
        <v>46265</v>
      </c>
      <c r="C17" s="2" t="s">
        <v>27</v>
      </c>
      <c r="D17" s="2" t="s">
        <v>40</v>
      </c>
      <c r="E17" s="2" t="s">
        <v>34</v>
      </c>
      <c r="F17" s="2" t="s">
        <v>35</v>
      </c>
      <c r="G17" s="2" t="s">
        <v>36</v>
      </c>
      <c r="H17" s="2" t="s">
        <v>78</v>
      </c>
      <c r="I17" s="4">
        <v>1250</v>
      </c>
      <c r="J17" s="4">
        <v>8.5299999999999994</v>
      </c>
      <c r="K17" s="4">
        <v>10662.5</v>
      </c>
      <c r="L17" s="2">
        <v>92.2</v>
      </c>
      <c r="M17" s="2" t="s">
        <v>37</v>
      </c>
      <c r="N17" s="2">
        <v>35</v>
      </c>
      <c r="O17" s="2">
        <v>1440.3</v>
      </c>
      <c r="P17" s="2" t="s">
        <v>25</v>
      </c>
      <c r="Q17" s="2"/>
    </row>
    <row r="18" spans="1:17" x14ac:dyDescent="0.25">
      <c r="A18" s="2" t="s">
        <v>81</v>
      </c>
      <c r="B18" s="3">
        <v>46054</v>
      </c>
      <c r="C18" s="2" t="s">
        <v>82</v>
      </c>
      <c r="D18" s="2" t="s">
        <v>74</v>
      </c>
      <c r="E18" s="2" t="s">
        <v>20</v>
      </c>
      <c r="F18" s="2" t="s">
        <v>21</v>
      </c>
      <c r="G18" s="2" t="s">
        <v>22</v>
      </c>
      <c r="H18" s="2" t="s">
        <v>58</v>
      </c>
      <c r="I18" s="4">
        <v>1250</v>
      </c>
      <c r="J18" s="4">
        <v>10.62</v>
      </c>
      <c r="K18" s="4">
        <v>13275</v>
      </c>
      <c r="L18" s="2">
        <v>89.5</v>
      </c>
      <c r="M18" s="2" t="s">
        <v>37</v>
      </c>
      <c r="N18" s="2">
        <v>35</v>
      </c>
      <c r="O18" s="2">
        <v>1127.3</v>
      </c>
      <c r="P18" s="2" t="s">
        <v>61</v>
      </c>
      <c r="Q18" s="2" t="s">
        <v>53</v>
      </c>
    </row>
    <row r="19" spans="1:17" x14ac:dyDescent="0.25">
      <c r="A19" s="2" t="s">
        <v>83</v>
      </c>
      <c r="B19" s="3">
        <v>46249</v>
      </c>
      <c r="C19" s="2" t="s">
        <v>84</v>
      </c>
      <c r="D19" s="2" t="s">
        <v>70</v>
      </c>
      <c r="E19" s="2" t="s">
        <v>20</v>
      </c>
      <c r="F19" s="2" t="s">
        <v>21</v>
      </c>
      <c r="G19" s="2" t="s">
        <v>22</v>
      </c>
      <c r="H19" s="2" t="s">
        <v>58</v>
      </c>
      <c r="I19" s="4">
        <v>500</v>
      </c>
      <c r="J19" s="4">
        <v>27.33</v>
      </c>
      <c r="K19" s="4">
        <v>13665</v>
      </c>
      <c r="L19" s="2">
        <v>97.9</v>
      </c>
      <c r="M19" s="2" t="s">
        <v>85</v>
      </c>
      <c r="N19" s="2">
        <v>18</v>
      </c>
      <c r="O19" s="2">
        <v>573.5</v>
      </c>
      <c r="P19" s="2" t="s">
        <v>61</v>
      </c>
      <c r="Q19" s="2" t="s">
        <v>53</v>
      </c>
    </row>
    <row r="20" spans="1:17" x14ac:dyDescent="0.25">
      <c r="A20" s="2" t="s">
        <v>86</v>
      </c>
      <c r="B20" s="3">
        <v>46053</v>
      </c>
      <c r="C20" s="2" t="s">
        <v>27</v>
      </c>
      <c r="D20" s="2" t="s">
        <v>87</v>
      </c>
      <c r="E20" s="2" t="s">
        <v>88</v>
      </c>
      <c r="F20" s="2" t="s">
        <v>89</v>
      </c>
      <c r="G20" s="2" t="s">
        <v>90</v>
      </c>
      <c r="H20" s="2" t="s">
        <v>58</v>
      </c>
      <c r="I20" s="4">
        <v>2500</v>
      </c>
      <c r="J20" s="4">
        <v>12.2</v>
      </c>
      <c r="K20" s="4">
        <v>30500</v>
      </c>
      <c r="L20" s="2">
        <v>94.9</v>
      </c>
      <c r="M20" s="2" t="s">
        <v>30</v>
      </c>
      <c r="N20" s="2">
        <v>26</v>
      </c>
      <c r="O20" s="2">
        <v>2913.3</v>
      </c>
      <c r="P20" s="2" t="s">
        <v>44</v>
      </c>
      <c r="Q20" s="2"/>
    </row>
    <row r="21" spans="1:17" x14ac:dyDescent="0.25">
      <c r="A21" s="2" t="s">
        <v>91</v>
      </c>
      <c r="B21" s="3">
        <v>46102</v>
      </c>
      <c r="C21" s="2" t="s">
        <v>27</v>
      </c>
      <c r="D21" s="2" t="s">
        <v>19</v>
      </c>
      <c r="E21" s="2" t="s">
        <v>65</v>
      </c>
      <c r="F21" s="2" t="s">
        <v>66</v>
      </c>
      <c r="G21" s="2" t="s">
        <v>67</v>
      </c>
      <c r="H21" s="2" t="s">
        <v>23</v>
      </c>
      <c r="I21" s="4">
        <v>500</v>
      </c>
      <c r="J21" s="4">
        <v>18.95</v>
      </c>
      <c r="K21" s="4">
        <v>9475</v>
      </c>
      <c r="L21" s="2">
        <v>89.7</v>
      </c>
      <c r="M21" s="2" t="s">
        <v>37</v>
      </c>
      <c r="N21" s="2">
        <v>11</v>
      </c>
      <c r="O21" s="2">
        <v>377.6</v>
      </c>
      <c r="P21" s="2" t="s">
        <v>61</v>
      </c>
      <c r="Q21" s="2" t="s">
        <v>38</v>
      </c>
    </row>
    <row r="22" spans="1:17" x14ac:dyDescent="0.25">
      <c r="A22" s="2" t="s">
        <v>92</v>
      </c>
      <c r="B22" s="3">
        <v>46052</v>
      </c>
      <c r="C22" s="2" t="s">
        <v>84</v>
      </c>
      <c r="D22" s="2" t="s">
        <v>70</v>
      </c>
      <c r="E22" s="2" t="s">
        <v>34</v>
      </c>
      <c r="F22" s="2" t="s">
        <v>35</v>
      </c>
      <c r="G22" s="2" t="s">
        <v>36</v>
      </c>
      <c r="H22" s="2" t="s">
        <v>23</v>
      </c>
      <c r="I22" s="4">
        <v>750</v>
      </c>
      <c r="J22" s="4">
        <v>19.29</v>
      </c>
      <c r="K22" s="4">
        <v>14467.5</v>
      </c>
      <c r="L22" s="2">
        <v>92.5</v>
      </c>
      <c r="M22" s="2" t="s">
        <v>37</v>
      </c>
      <c r="N22" s="2">
        <v>33</v>
      </c>
      <c r="O22" s="2">
        <v>623.9</v>
      </c>
      <c r="P22" s="2" t="s">
        <v>44</v>
      </c>
      <c r="Q22" s="2" t="s">
        <v>53</v>
      </c>
    </row>
    <row r="23" spans="1:17" x14ac:dyDescent="0.25">
      <c r="A23" s="2" t="s">
        <v>93</v>
      </c>
      <c r="B23" s="3">
        <v>46064</v>
      </c>
      <c r="C23" s="2" t="s">
        <v>82</v>
      </c>
      <c r="D23" s="2" t="s">
        <v>74</v>
      </c>
      <c r="E23" s="2" t="s">
        <v>94</v>
      </c>
      <c r="F23" s="2" t="s">
        <v>95</v>
      </c>
      <c r="G23" s="2" t="s">
        <v>96</v>
      </c>
      <c r="H23" s="2" t="s">
        <v>52</v>
      </c>
      <c r="I23" s="4">
        <v>1250</v>
      </c>
      <c r="J23" s="4">
        <v>20.9</v>
      </c>
      <c r="K23" s="4">
        <v>26125</v>
      </c>
      <c r="L23" s="2">
        <v>84.8</v>
      </c>
      <c r="M23" s="2" t="s">
        <v>37</v>
      </c>
      <c r="N23" s="2">
        <v>33</v>
      </c>
      <c r="O23" s="2">
        <v>1055</v>
      </c>
      <c r="P23" s="2" t="s">
        <v>31</v>
      </c>
      <c r="Q23" s="2" t="s">
        <v>62</v>
      </c>
    </row>
    <row r="24" spans="1:17" x14ac:dyDescent="0.25">
      <c r="A24" s="2" t="s">
        <v>97</v>
      </c>
      <c r="B24" s="3">
        <v>46060</v>
      </c>
      <c r="C24" s="2" t="s">
        <v>47</v>
      </c>
      <c r="D24" s="2" t="s">
        <v>40</v>
      </c>
      <c r="E24" s="2" t="s">
        <v>55</v>
      </c>
      <c r="F24" s="2" t="s">
        <v>56</v>
      </c>
      <c r="G24" s="2" t="s">
        <v>57</v>
      </c>
      <c r="H24" s="2" t="s">
        <v>29</v>
      </c>
      <c r="I24" s="4">
        <v>750</v>
      </c>
      <c r="J24" s="4">
        <v>8.08</v>
      </c>
      <c r="K24" s="4">
        <v>6060</v>
      </c>
      <c r="L24" s="2">
        <v>82.6</v>
      </c>
      <c r="M24" s="2" t="s">
        <v>37</v>
      </c>
      <c r="N24" s="2">
        <v>16</v>
      </c>
      <c r="O24" s="2">
        <v>1294.9000000000001</v>
      </c>
      <c r="P24" s="2" t="s">
        <v>25</v>
      </c>
      <c r="Q24" s="2" t="s">
        <v>53</v>
      </c>
    </row>
    <row r="25" spans="1:17" x14ac:dyDescent="0.25">
      <c r="A25" s="2" t="s">
        <v>98</v>
      </c>
      <c r="B25" s="3">
        <v>46168</v>
      </c>
      <c r="C25" s="2" t="s">
        <v>27</v>
      </c>
      <c r="D25" s="2" t="s">
        <v>99</v>
      </c>
      <c r="E25" s="2" t="s">
        <v>55</v>
      </c>
      <c r="F25" s="2" t="s">
        <v>56</v>
      </c>
      <c r="G25" s="2" t="s">
        <v>57</v>
      </c>
      <c r="H25" s="2" t="s">
        <v>29</v>
      </c>
      <c r="I25" s="4">
        <v>1500</v>
      </c>
      <c r="J25" s="4">
        <v>19.649999999999999</v>
      </c>
      <c r="K25" s="4">
        <v>29475</v>
      </c>
      <c r="L25" s="2">
        <v>99.2</v>
      </c>
      <c r="M25" s="2" t="s">
        <v>24</v>
      </c>
      <c r="N25" s="2">
        <v>8</v>
      </c>
      <c r="O25" s="2">
        <v>2152</v>
      </c>
      <c r="P25" s="2" t="s">
        <v>44</v>
      </c>
      <c r="Q25" s="2" t="s">
        <v>45</v>
      </c>
    </row>
    <row r="26" spans="1:17" x14ac:dyDescent="0.25">
      <c r="A26" s="2" t="s">
        <v>100</v>
      </c>
      <c r="B26" s="3">
        <v>46091</v>
      </c>
      <c r="C26" s="2" t="s">
        <v>33</v>
      </c>
      <c r="D26" s="2" t="s">
        <v>70</v>
      </c>
      <c r="E26" s="2" t="s">
        <v>20</v>
      </c>
      <c r="F26" s="2" t="s">
        <v>21</v>
      </c>
      <c r="G26" s="2" t="s">
        <v>22</v>
      </c>
      <c r="H26" s="2" t="s">
        <v>58</v>
      </c>
      <c r="I26" s="4">
        <v>1000</v>
      </c>
      <c r="J26" s="4">
        <v>12.36</v>
      </c>
      <c r="K26" s="4">
        <v>12360</v>
      </c>
      <c r="L26" s="2">
        <v>91</v>
      </c>
      <c r="M26" s="2" t="s">
        <v>37</v>
      </c>
      <c r="N26" s="2">
        <v>21</v>
      </c>
      <c r="O26" s="2">
        <v>1456.2</v>
      </c>
      <c r="P26" s="2" t="s">
        <v>31</v>
      </c>
      <c r="Q26" s="2" t="s">
        <v>38</v>
      </c>
    </row>
    <row r="27" spans="1:17" x14ac:dyDescent="0.25">
      <c r="A27" s="2" t="s">
        <v>101</v>
      </c>
      <c r="B27" s="3">
        <v>46151</v>
      </c>
      <c r="C27" s="2" t="s">
        <v>47</v>
      </c>
      <c r="D27" s="2" t="s">
        <v>70</v>
      </c>
      <c r="E27" s="2" t="s">
        <v>65</v>
      </c>
      <c r="F27" s="2" t="s">
        <v>66</v>
      </c>
      <c r="G27" s="2" t="s">
        <v>67</v>
      </c>
      <c r="H27" s="2" t="s">
        <v>78</v>
      </c>
      <c r="I27" s="4">
        <v>1500</v>
      </c>
      <c r="J27" s="4">
        <v>7.45</v>
      </c>
      <c r="K27" s="4">
        <v>11175</v>
      </c>
      <c r="L27" s="2">
        <v>85.2</v>
      </c>
      <c r="M27" s="2" t="s">
        <v>37</v>
      </c>
      <c r="N27" s="2">
        <v>24</v>
      </c>
      <c r="O27" s="2">
        <v>1316.6</v>
      </c>
      <c r="P27" s="2" t="s">
        <v>61</v>
      </c>
      <c r="Q27" s="2" t="s">
        <v>38</v>
      </c>
    </row>
    <row r="28" spans="1:17" x14ac:dyDescent="0.25">
      <c r="A28" s="2" t="s">
        <v>102</v>
      </c>
      <c r="B28" s="3">
        <v>46027</v>
      </c>
      <c r="C28" s="2" t="s">
        <v>47</v>
      </c>
      <c r="D28" s="2" t="s">
        <v>70</v>
      </c>
      <c r="E28" s="2" t="s">
        <v>88</v>
      </c>
      <c r="F28" s="2" t="s">
        <v>89</v>
      </c>
      <c r="G28" s="2" t="s">
        <v>90</v>
      </c>
      <c r="H28" s="2" t="s">
        <v>23</v>
      </c>
      <c r="I28" s="4">
        <v>500</v>
      </c>
      <c r="J28" s="4">
        <v>24.44</v>
      </c>
      <c r="K28" s="4">
        <v>12220</v>
      </c>
      <c r="L28" s="2">
        <v>90.5</v>
      </c>
      <c r="M28" s="2" t="s">
        <v>37</v>
      </c>
      <c r="N28" s="2">
        <v>35</v>
      </c>
      <c r="O28" s="2">
        <v>420.1</v>
      </c>
      <c r="P28" s="2" t="s">
        <v>31</v>
      </c>
      <c r="Q28" s="2" t="s">
        <v>45</v>
      </c>
    </row>
    <row r="29" spans="1:17" x14ac:dyDescent="0.25">
      <c r="A29" s="2" t="s">
        <v>103</v>
      </c>
      <c r="B29" s="3">
        <v>46206</v>
      </c>
      <c r="C29" s="2" t="s">
        <v>27</v>
      </c>
      <c r="D29" s="2" t="s">
        <v>48</v>
      </c>
      <c r="E29" s="2" t="s">
        <v>104</v>
      </c>
      <c r="F29" s="2" t="s">
        <v>95</v>
      </c>
      <c r="G29" s="2" t="s">
        <v>96</v>
      </c>
      <c r="H29" s="2" t="s">
        <v>58</v>
      </c>
      <c r="I29" s="4">
        <v>2000</v>
      </c>
      <c r="J29" s="4">
        <v>23.27</v>
      </c>
      <c r="K29" s="4">
        <v>46540</v>
      </c>
      <c r="L29" s="2">
        <v>97</v>
      </c>
      <c r="M29" s="2" t="s">
        <v>30</v>
      </c>
      <c r="N29" s="2">
        <v>17</v>
      </c>
      <c r="O29" s="2">
        <v>3436.7</v>
      </c>
      <c r="P29" s="2" t="s">
        <v>68</v>
      </c>
      <c r="Q29" s="2" t="s">
        <v>53</v>
      </c>
    </row>
    <row r="30" spans="1:17" x14ac:dyDescent="0.25">
      <c r="A30" s="2" t="s">
        <v>105</v>
      </c>
      <c r="B30" s="3">
        <v>46234</v>
      </c>
      <c r="C30" s="2" t="s">
        <v>47</v>
      </c>
      <c r="D30" s="2" t="s">
        <v>64</v>
      </c>
      <c r="E30" s="2" t="s">
        <v>34</v>
      </c>
      <c r="F30" s="2" t="s">
        <v>35</v>
      </c>
      <c r="G30" s="2" t="s">
        <v>36</v>
      </c>
      <c r="H30" s="2" t="s">
        <v>52</v>
      </c>
      <c r="I30" s="4">
        <v>2500</v>
      </c>
      <c r="J30" s="4">
        <v>23.75</v>
      </c>
      <c r="K30" s="4">
        <v>59375</v>
      </c>
      <c r="L30" s="2">
        <v>96.6</v>
      </c>
      <c r="M30" s="2" t="s">
        <v>37</v>
      </c>
      <c r="N30" s="2">
        <v>25</v>
      </c>
      <c r="O30" s="2">
        <v>2187.8000000000002</v>
      </c>
      <c r="P30" s="2" t="s">
        <v>25</v>
      </c>
      <c r="Q30" s="2" t="s">
        <v>62</v>
      </c>
    </row>
    <row r="31" spans="1:17" x14ac:dyDescent="0.25">
      <c r="A31" s="2" t="s">
        <v>106</v>
      </c>
      <c r="B31" s="3">
        <v>46263</v>
      </c>
      <c r="C31" s="2" t="s">
        <v>27</v>
      </c>
      <c r="D31" s="2" t="s">
        <v>48</v>
      </c>
      <c r="E31" s="2" t="s">
        <v>104</v>
      </c>
      <c r="F31" s="2" t="s">
        <v>95</v>
      </c>
      <c r="G31" s="2" t="s">
        <v>96</v>
      </c>
      <c r="H31" s="2" t="s">
        <v>78</v>
      </c>
      <c r="I31" s="4">
        <v>2000</v>
      </c>
      <c r="J31" s="4">
        <v>13.06</v>
      </c>
      <c r="K31" s="4">
        <v>26120</v>
      </c>
      <c r="L31" s="2">
        <v>95.1</v>
      </c>
      <c r="M31" s="2" t="s">
        <v>37</v>
      </c>
      <c r="N31" s="2">
        <v>22</v>
      </c>
      <c r="O31" s="2">
        <v>1452.1</v>
      </c>
      <c r="P31" s="2" t="s">
        <v>68</v>
      </c>
      <c r="Q31" s="2" t="s">
        <v>62</v>
      </c>
    </row>
    <row r="32" spans="1:17" x14ac:dyDescent="0.25">
      <c r="A32" s="2" t="s">
        <v>107</v>
      </c>
      <c r="B32" s="3">
        <v>46165</v>
      </c>
      <c r="C32" s="2" t="s">
        <v>47</v>
      </c>
      <c r="D32" s="2" t="s">
        <v>19</v>
      </c>
      <c r="E32" s="2" t="s">
        <v>55</v>
      </c>
      <c r="F32" s="2" t="s">
        <v>56</v>
      </c>
      <c r="G32" s="2" t="s">
        <v>57</v>
      </c>
      <c r="H32" s="2" t="s">
        <v>52</v>
      </c>
      <c r="I32" s="4">
        <v>2500</v>
      </c>
      <c r="J32" s="4">
        <v>21.11</v>
      </c>
      <c r="K32" s="4">
        <v>52775</v>
      </c>
      <c r="L32" s="2">
        <v>96.1</v>
      </c>
      <c r="M32" s="2" t="s">
        <v>37</v>
      </c>
      <c r="N32" s="2">
        <v>9</v>
      </c>
      <c r="O32" s="2">
        <v>2067.1999999999998</v>
      </c>
      <c r="P32" s="2" t="s">
        <v>31</v>
      </c>
      <c r="Q32" s="2" t="s">
        <v>108</v>
      </c>
    </row>
    <row r="33" spans="1:17" x14ac:dyDescent="0.25">
      <c r="A33" s="2" t="s">
        <v>109</v>
      </c>
      <c r="B33" s="3">
        <v>46042</v>
      </c>
      <c r="C33" s="2" t="s">
        <v>47</v>
      </c>
      <c r="D33" s="2" t="s">
        <v>87</v>
      </c>
      <c r="E33" s="2" t="s">
        <v>41</v>
      </c>
      <c r="F33" s="2" t="s">
        <v>42</v>
      </c>
      <c r="G33" s="2" t="s">
        <v>43</v>
      </c>
      <c r="H33" s="2" t="s">
        <v>52</v>
      </c>
      <c r="I33" s="4">
        <v>2000</v>
      </c>
      <c r="J33" s="4">
        <v>15.88</v>
      </c>
      <c r="K33" s="4">
        <v>31760</v>
      </c>
      <c r="L33" s="2">
        <v>99.2</v>
      </c>
      <c r="M33" s="2" t="s">
        <v>37</v>
      </c>
      <c r="N33" s="2">
        <v>32</v>
      </c>
      <c r="O33" s="2">
        <v>3378.9</v>
      </c>
      <c r="P33" s="2" t="s">
        <v>68</v>
      </c>
      <c r="Q33" s="2" t="s">
        <v>45</v>
      </c>
    </row>
    <row r="34" spans="1:17" x14ac:dyDescent="0.25">
      <c r="A34" s="2" t="s">
        <v>110</v>
      </c>
      <c r="B34" s="3">
        <v>46246</v>
      </c>
      <c r="C34" s="2" t="s">
        <v>47</v>
      </c>
      <c r="D34" s="2" t="s">
        <v>48</v>
      </c>
      <c r="E34" s="2" t="s">
        <v>104</v>
      </c>
      <c r="F34" s="2" t="s">
        <v>95</v>
      </c>
      <c r="G34" s="2" t="s">
        <v>96</v>
      </c>
      <c r="H34" s="2" t="s">
        <v>52</v>
      </c>
      <c r="I34" s="4">
        <v>2500</v>
      </c>
      <c r="J34" s="4">
        <v>8</v>
      </c>
      <c r="K34" s="4">
        <v>20000</v>
      </c>
      <c r="L34" s="2">
        <v>92.3</v>
      </c>
      <c r="M34" s="2" t="s">
        <v>37</v>
      </c>
      <c r="N34" s="2">
        <v>28</v>
      </c>
      <c r="O34" s="2">
        <v>3574.3</v>
      </c>
      <c r="P34" s="2" t="s">
        <v>25</v>
      </c>
      <c r="Q34" s="2"/>
    </row>
    <row r="35" spans="1:17" x14ac:dyDescent="0.25">
      <c r="A35" s="2" t="s">
        <v>111</v>
      </c>
      <c r="B35" s="3">
        <v>46282</v>
      </c>
      <c r="C35" s="2" t="s">
        <v>33</v>
      </c>
      <c r="D35" s="2" t="s">
        <v>87</v>
      </c>
      <c r="E35" s="2" t="s">
        <v>41</v>
      </c>
      <c r="F35" s="2" t="s">
        <v>42</v>
      </c>
      <c r="G35" s="2" t="s">
        <v>43</v>
      </c>
      <c r="H35" s="2" t="s">
        <v>52</v>
      </c>
      <c r="I35" s="4">
        <v>2500</v>
      </c>
      <c r="J35" s="4">
        <v>21.49</v>
      </c>
      <c r="K35" s="4">
        <v>53725</v>
      </c>
      <c r="L35" s="2">
        <v>89.9</v>
      </c>
      <c r="M35" s="2" t="s">
        <v>37</v>
      </c>
      <c r="N35" s="2">
        <v>34</v>
      </c>
      <c r="O35" s="2">
        <v>3578.6</v>
      </c>
      <c r="P35" s="2" t="s">
        <v>61</v>
      </c>
      <c r="Q35" s="2"/>
    </row>
    <row r="36" spans="1:17" x14ac:dyDescent="0.25">
      <c r="A36" s="2" t="s">
        <v>112</v>
      </c>
      <c r="B36" s="3">
        <v>46177</v>
      </c>
      <c r="C36" s="2" t="s">
        <v>82</v>
      </c>
      <c r="D36" s="2" t="s">
        <v>28</v>
      </c>
      <c r="E36" s="2" t="s">
        <v>34</v>
      </c>
      <c r="F36" s="2" t="s">
        <v>35</v>
      </c>
      <c r="G36" s="2" t="s">
        <v>36</v>
      </c>
      <c r="H36" s="2" t="s">
        <v>52</v>
      </c>
      <c r="I36" s="4">
        <v>1500</v>
      </c>
      <c r="J36" s="4">
        <v>11.02</v>
      </c>
      <c r="K36" s="4">
        <v>16530</v>
      </c>
      <c r="L36" s="2">
        <v>94.9</v>
      </c>
      <c r="M36" s="2" t="s">
        <v>24</v>
      </c>
      <c r="N36" s="2">
        <v>28</v>
      </c>
      <c r="O36" s="2">
        <v>1817.2</v>
      </c>
      <c r="P36" s="2" t="s">
        <v>61</v>
      </c>
      <c r="Q36" s="2"/>
    </row>
    <row r="37" spans="1:17" x14ac:dyDescent="0.25">
      <c r="A37" s="2" t="s">
        <v>113</v>
      </c>
      <c r="B37" s="3">
        <v>46284</v>
      </c>
      <c r="C37" s="2" t="s">
        <v>82</v>
      </c>
      <c r="D37" s="2" t="s">
        <v>64</v>
      </c>
      <c r="E37" s="2" t="s">
        <v>49</v>
      </c>
      <c r="F37" s="2" t="s">
        <v>50</v>
      </c>
      <c r="G37" s="2" t="s">
        <v>51</v>
      </c>
      <c r="H37" s="2" t="s">
        <v>58</v>
      </c>
      <c r="I37" s="4">
        <v>1500</v>
      </c>
      <c r="J37" s="4">
        <v>17.579999999999998</v>
      </c>
      <c r="K37" s="4">
        <v>26370</v>
      </c>
      <c r="L37" s="2">
        <v>91.6</v>
      </c>
      <c r="M37" s="2" t="s">
        <v>37</v>
      </c>
      <c r="N37" s="2">
        <v>13</v>
      </c>
      <c r="O37" s="2">
        <v>2400.4</v>
      </c>
      <c r="P37" s="2" t="s">
        <v>68</v>
      </c>
      <c r="Q37" s="2"/>
    </row>
    <row r="38" spans="1:17" x14ac:dyDescent="0.25">
      <c r="A38" s="2" t="s">
        <v>114</v>
      </c>
      <c r="B38" s="3">
        <v>46138</v>
      </c>
      <c r="C38" s="2" t="s">
        <v>27</v>
      </c>
      <c r="D38" s="2" t="s">
        <v>64</v>
      </c>
      <c r="E38" s="2" t="s">
        <v>41</v>
      </c>
      <c r="F38" s="2" t="s">
        <v>42</v>
      </c>
      <c r="G38" s="2" t="s">
        <v>43</v>
      </c>
      <c r="H38" s="2" t="s">
        <v>58</v>
      </c>
      <c r="I38" s="4">
        <v>500</v>
      </c>
      <c r="J38" s="4">
        <v>11.76</v>
      </c>
      <c r="K38" s="4">
        <v>5880</v>
      </c>
      <c r="L38" s="2">
        <v>88.2</v>
      </c>
      <c r="M38" s="2" t="s">
        <v>37</v>
      </c>
      <c r="N38" s="2">
        <v>37</v>
      </c>
      <c r="O38" s="2">
        <v>577.9</v>
      </c>
      <c r="P38" s="2" t="s">
        <v>44</v>
      </c>
      <c r="Q38" s="2" t="s">
        <v>53</v>
      </c>
    </row>
    <row r="39" spans="1:17" x14ac:dyDescent="0.25">
      <c r="A39" s="2" t="s">
        <v>115</v>
      </c>
      <c r="B39" s="3">
        <v>46276</v>
      </c>
      <c r="C39" s="2" t="s">
        <v>82</v>
      </c>
      <c r="D39" s="2" t="s">
        <v>48</v>
      </c>
      <c r="E39" s="2" t="s">
        <v>88</v>
      </c>
      <c r="F39" s="2" t="s">
        <v>89</v>
      </c>
      <c r="G39" s="2" t="s">
        <v>90</v>
      </c>
      <c r="H39" s="2" t="s">
        <v>23</v>
      </c>
      <c r="I39" s="4">
        <v>500</v>
      </c>
      <c r="J39" s="4">
        <v>25.69</v>
      </c>
      <c r="K39" s="4">
        <v>12845</v>
      </c>
      <c r="L39" s="2">
        <v>96.5</v>
      </c>
      <c r="M39" s="2" t="s">
        <v>37</v>
      </c>
      <c r="N39" s="2">
        <v>35</v>
      </c>
      <c r="O39" s="2">
        <v>470.4</v>
      </c>
      <c r="P39" s="2" t="s">
        <v>44</v>
      </c>
      <c r="Q39" s="2" t="s">
        <v>62</v>
      </c>
    </row>
    <row r="40" spans="1:17" x14ac:dyDescent="0.25">
      <c r="A40" s="2" t="s">
        <v>116</v>
      </c>
      <c r="B40" s="3">
        <v>46150</v>
      </c>
      <c r="C40" s="2" t="s">
        <v>47</v>
      </c>
      <c r="D40" s="2" t="s">
        <v>40</v>
      </c>
      <c r="E40" s="2" t="s">
        <v>104</v>
      </c>
      <c r="F40" s="2" t="s">
        <v>95</v>
      </c>
      <c r="G40" s="2" t="s">
        <v>96</v>
      </c>
      <c r="H40" s="2" t="s">
        <v>23</v>
      </c>
      <c r="I40" s="4">
        <v>3000</v>
      </c>
      <c r="J40" s="4">
        <v>20.85</v>
      </c>
      <c r="K40" s="4">
        <v>62550</v>
      </c>
      <c r="L40" s="2"/>
      <c r="M40" s="2" t="s">
        <v>24</v>
      </c>
      <c r="N40" s="2">
        <v>28</v>
      </c>
      <c r="O40" s="2">
        <v>5235.1000000000004</v>
      </c>
      <c r="P40" s="2" t="s">
        <v>61</v>
      </c>
      <c r="Q40" s="2" t="s">
        <v>38</v>
      </c>
    </row>
    <row r="41" spans="1:17" x14ac:dyDescent="0.25">
      <c r="A41" s="2" t="s">
        <v>117</v>
      </c>
      <c r="B41" s="3">
        <v>46251</v>
      </c>
      <c r="C41" s="2" t="s">
        <v>27</v>
      </c>
      <c r="D41" s="2" t="s">
        <v>40</v>
      </c>
      <c r="E41" s="2" t="s">
        <v>88</v>
      </c>
      <c r="F41" s="2" t="s">
        <v>89</v>
      </c>
      <c r="G41" s="2" t="s">
        <v>90</v>
      </c>
      <c r="H41" s="2" t="s">
        <v>78</v>
      </c>
      <c r="I41" s="4">
        <v>1500</v>
      </c>
      <c r="J41" s="4">
        <v>22.66</v>
      </c>
      <c r="K41" s="4">
        <v>33990</v>
      </c>
      <c r="L41" s="2">
        <v>96.1</v>
      </c>
      <c r="M41" s="2" t="s">
        <v>37</v>
      </c>
      <c r="N41" s="2">
        <v>41</v>
      </c>
      <c r="O41" s="2">
        <v>1849.6</v>
      </c>
      <c r="P41" s="2" t="s">
        <v>68</v>
      </c>
      <c r="Q41" s="2" t="s">
        <v>45</v>
      </c>
    </row>
    <row r="42" spans="1:17" x14ac:dyDescent="0.25">
      <c r="A42" s="2" t="s">
        <v>118</v>
      </c>
      <c r="B42" s="3">
        <v>46062</v>
      </c>
      <c r="C42" s="2" t="s">
        <v>18</v>
      </c>
      <c r="D42" s="2" t="s">
        <v>19</v>
      </c>
      <c r="E42" s="2" t="s">
        <v>65</v>
      </c>
      <c r="F42" s="2" t="s">
        <v>66</v>
      </c>
      <c r="G42" s="2" t="s">
        <v>67</v>
      </c>
      <c r="H42" s="2" t="s">
        <v>23</v>
      </c>
      <c r="I42" s="4">
        <v>1500</v>
      </c>
      <c r="J42" s="4">
        <v>13.72</v>
      </c>
      <c r="K42" s="4">
        <v>20580</v>
      </c>
      <c r="L42" s="2">
        <v>97.2</v>
      </c>
      <c r="M42" s="2" t="s">
        <v>37</v>
      </c>
      <c r="N42" s="2">
        <v>16</v>
      </c>
      <c r="O42" s="2">
        <v>1298.9000000000001</v>
      </c>
      <c r="P42" s="2" t="s">
        <v>61</v>
      </c>
      <c r="Q42" s="2"/>
    </row>
    <row r="43" spans="1:17" x14ac:dyDescent="0.25">
      <c r="A43" s="2" t="s">
        <v>119</v>
      </c>
      <c r="B43" s="3">
        <v>46132</v>
      </c>
      <c r="C43" s="2" t="s">
        <v>47</v>
      </c>
      <c r="D43" s="2" t="s">
        <v>87</v>
      </c>
      <c r="E43" s="2" t="s">
        <v>34</v>
      </c>
      <c r="F43" s="2" t="s">
        <v>35</v>
      </c>
      <c r="G43" s="2" t="s">
        <v>36</v>
      </c>
      <c r="H43" s="2" t="s">
        <v>78</v>
      </c>
      <c r="I43" s="4">
        <v>2000</v>
      </c>
      <c r="J43" s="4">
        <v>18.170000000000002</v>
      </c>
      <c r="K43" s="4">
        <v>36340</v>
      </c>
      <c r="L43" s="2">
        <v>86.9</v>
      </c>
      <c r="M43" s="2" t="s">
        <v>37</v>
      </c>
      <c r="N43" s="2">
        <v>34</v>
      </c>
      <c r="O43" s="2">
        <v>2256.8000000000002</v>
      </c>
      <c r="P43" s="2" t="s">
        <v>44</v>
      </c>
      <c r="Q43" s="2"/>
    </row>
    <row r="44" spans="1:17" x14ac:dyDescent="0.25">
      <c r="A44" s="2" t="s">
        <v>120</v>
      </c>
      <c r="B44" s="3">
        <v>46217</v>
      </c>
      <c r="C44" s="2" t="s">
        <v>82</v>
      </c>
      <c r="D44" s="2" t="s">
        <v>60</v>
      </c>
      <c r="E44" s="2" t="s">
        <v>104</v>
      </c>
      <c r="F44" s="2" t="s">
        <v>95</v>
      </c>
      <c r="G44" s="2" t="s">
        <v>96</v>
      </c>
      <c r="H44" s="2" t="s">
        <v>52</v>
      </c>
      <c r="I44" s="4">
        <v>1500</v>
      </c>
      <c r="J44" s="4">
        <v>22.7</v>
      </c>
      <c r="K44" s="4">
        <v>34050</v>
      </c>
      <c r="L44" s="2">
        <v>96.3</v>
      </c>
      <c r="M44" s="2" t="s">
        <v>30</v>
      </c>
      <c r="N44" s="2">
        <v>42</v>
      </c>
      <c r="O44" s="2">
        <v>2283.4</v>
      </c>
      <c r="P44" s="2" t="s">
        <v>44</v>
      </c>
      <c r="Q44" s="2" t="s">
        <v>38</v>
      </c>
    </row>
    <row r="45" spans="1:17" x14ac:dyDescent="0.25">
      <c r="A45" s="2" t="s">
        <v>121</v>
      </c>
      <c r="B45" s="3">
        <v>46272</v>
      </c>
      <c r="C45" s="2" t="s">
        <v>27</v>
      </c>
      <c r="D45" s="2" t="s">
        <v>19</v>
      </c>
      <c r="E45" s="2" t="s">
        <v>49</v>
      </c>
      <c r="F45" s="2" t="s">
        <v>50</v>
      </c>
      <c r="G45" s="2" t="s">
        <v>51</v>
      </c>
      <c r="H45" s="2" t="s">
        <v>78</v>
      </c>
      <c r="I45" s="4">
        <v>3000</v>
      </c>
      <c r="J45" s="4">
        <v>7.12</v>
      </c>
      <c r="K45" s="4">
        <v>21360</v>
      </c>
      <c r="L45" s="2">
        <v>85.2</v>
      </c>
      <c r="M45" s="2" t="s">
        <v>30</v>
      </c>
      <c r="N45" s="2">
        <v>18</v>
      </c>
      <c r="O45" s="2">
        <v>4873.7</v>
      </c>
      <c r="P45" s="2" t="s">
        <v>68</v>
      </c>
      <c r="Q45" s="2" t="s">
        <v>38</v>
      </c>
    </row>
    <row r="46" spans="1:17" x14ac:dyDescent="0.25">
      <c r="A46" s="2" t="s">
        <v>122</v>
      </c>
      <c r="B46" s="3">
        <v>46224</v>
      </c>
      <c r="C46" s="2" t="s">
        <v>84</v>
      </c>
      <c r="D46" s="2" t="s">
        <v>28</v>
      </c>
      <c r="E46" s="2" t="s">
        <v>104</v>
      </c>
      <c r="F46" s="2" t="s">
        <v>95</v>
      </c>
      <c r="G46" s="2" t="s">
        <v>96</v>
      </c>
      <c r="H46" s="2" t="s">
        <v>58</v>
      </c>
      <c r="I46" s="4">
        <v>2500</v>
      </c>
      <c r="J46" s="4">
        <v>9.42</v>
      </c>
      <c r="K46" s="4">
        <v>23550</v>
      </c>
      <c r="L46" s="2">
        <v>87.9</v>
      </c>
      <c r="M46" s="2" t="s">
        <v>37</v>
      </c>
      <c r="N46" s="2">
        <v>24</v>
      </c>
      <c r="O46" s="2">
        <v>2792.5</v>
      </c>
      <c r="P46" s="2" t="s">
        <v>68</v>
      </c>
      <c r="Q46" s="2" t="s">
        <v>62</v>
      </c>
    </row>
    <row r="47" spans="1:17" x14ac:dyDescent="0.25">
      <c r="A47" s="2" t="s">
        <v>123</v>
      </c>
      <c r="B47" s="3">
        <v>46195</v>
      </c>
      <c r="C47" s="2" t="s">
        <v>124</v>
      </c>
      <c r="D47" s="2" t="s">
        <v>19</v>
      </c>
      <c r="E47" s="2" t="s">
        <v>55</v>
      </c>
      <c r="F47" s="2" t="s">
        <v>56</v>
      </c>
      <c r="G47" s="2" t="s">
        <v>57</v>
      </c>
      <c r="H47" s="2" t="s">
        <v>78</v>
      </c>
      <c r="I47" s="4">
        <v>1500</v>
      </c>
      <c r="J47" s="4">
        <v>24.45</v>
      </c>
      <c r="K47" s="4">
        <v>36675</v>
      </c>
      <c r="L47" s="2">
        <v>88.1</v>
      </c>
      <c r="M47" s="2" t="s">
        <v>24</v>
      </c>
      <c r="N47" s="2">
        <v>11</v>
      </c>
      <c r="O47" s="2">
        <v>2699.8</v>
      </c>
      <c r="P47" s="2" t="s">
        <v>31</v>
      </c>
      <c r="Q47" s="2" t="s">
        <v>53</v>
      </c>
    </row>
    <row r="48" spans="1:17" x14ac:dyDescent="0.25">
      <c r="A48" s="2" t="s">
        <v>125</v>
      </c>
      <c r="B48" s="3">
        <v>46043</v>
      </c>
      <c r="C48" s="2" t="s">
        <v>47</v>
      </c>
      <c r="D48" s="2" t="s">
        <v>48</v>
      </c>
      <c r="E48" s="2" t="s">
        <v>20</v>
      </c>
      <c r="F48" s="2" t="s">
        <v>21</v>
      </c>
      <c r="G48" s="2" t="s">
        <v>22</v>
      </c>
      <c r="H48" s="2" t="s">
        <v>23</v>
      </c>
      <c r="I48" s="4">
        <v>500</v>
      </c>
      <c r="J48" s="4">
        <v>19.86</v>
      </c>
      <c r="K48" s="4">
        <v>9930</v>
      </c>
      <c r="L48" s="2">
        <v>83.1</v>
      </c>
      <c r="M48" s="2" t="s">
        <v>30</v>
      </c>
      <c r="N48" s="2">
        <v>15</v>
      </c>
      <c r="O48" s="2">
        <v>660.2</v>
      </c>
      <c r="P48" s="2" t="s">
        <v>68</v>
      </c>
      <c r="Q48" s="2" t="s">
        <v>62</v>
      </c>
    </row>
    <row r="49" spans="1:17" x14ac:dyDescent="0.25">
      <c r="A49" s="2" t="s">
        <v>126</v>
      </c>
      <c r="B49" s="3">
        <v>46211</v>
      </c>
      <c r="C49" s="2" t="s">
        <v>27</v>
      </c>
      <c r="D49" s="2" t="s">
        <v>70</v>
      </c>
      <c r="E49" s="2" t="s">
        <v>41</v>
      </c>
      <c r="F49" s="2" t="s">
        <v>42</v>
      </c>
      <c r="G49" s="2" t="s">
        <v>43</v>
      </c>
      <c r="H49" s="2" t="s">
        <v>23</v>
      </c>
      <c r="I49" s="4">
        <v>1500</v>
      </c>
      <c r="J49" s="4">
        <v>8.82</v>
      </c>
      <c r="K49" s="4">
        <v>13230</v>
      </c>
      <c r="L49" s="2">
        <v>78.599999999999994</v>
      </c>
      <c r="M49" s="2" t="s">
        <v>37</v>
      </c>
      <c r="N49" s="2">
        <v>32</v>
      </c>
      <c r="O49" s="2">
        <v>1704.5</v>
      </c>
      <c r="P49" s="2" t="s">
        <v>68</v>
      </c>
      <c r="Q49" s="2"/>
    </row>
    <row r="50" spans="1:17" x14ac:dyDescent="0.25">
      <c r="A50" s="2" t="s">
        <v>127</v>
      </c>
      <c r="B50" s="3">
        <v>46075</v>
      </c>
      <c r="C50" s="2" t="s">
        <v>18</v>
      </c>
      <c r="D50" s="2" t="s">
        <v>19</v>
      </c>
      <c r="E50" s="2" t="s">
        <v>49</v>
      </c>
      <c r="F50" s="2" t="s">
        <v>50</v>
      </c>
      <c r="G50" s="2" t="s">
        <v>51</v>
      </c>
      <c r="H50" s="2" t="s">
        <v>29</v>
      </c>
      <c r="I50" s="4">
        <v>750</v>
      </c>
      <c r="J50" s="4">
        <v>23.62</v>
      </c>
      <c r="K50" s="4">
        <v>17715</v>
      </c>
      <c r="L50" s="2">
        <v>90.2</v>
      </c>
      <c r="M50" s="2" t="s">
        <v>37</v>
      </c>
      <c r="N50" s="2">
        <v>30</v>
      </c>
      <c r="O50" s="2">
        <v>964.5</v>
      </c>
      <c r="P50" s="2" t="s">
        <v>31</v>
      </c>
      <c r="Q50" s="2"/>
    </row>
    <row r="51" spans="1:17" x14ac:dyDescent="0.25">
      <c r="A51" s="2" t="s">
        <v>128</v>
      </c>
      <c r="B51" s="3">
        <v>46029</v>
      </c>
      <c r="C51" s="2" t="s">
        <v>82</v>
      </c>
      <c r="D51" s="2" t="s">
        <v>40</v>
      </c>
      <c r="E51" s="2" t="s">
        <v>55</v>
      </c>
      <c r="F51" s="2" t="s">
        <v>56</v>
      </c>
      <c r="G51" s="2" t="s">
        <v>57</v>
      </c>
      <c r="H51" s="2" t="s">
        <v>58</v>
      </c>
      <c r="I51" s="4">
        <v>2500</v>
      </c>
      <c r="J51" s="4">
        <v>27.16</v>
      </c>
      <c r="K51" s="4">
        <v>67900</v>
      </c>
      <c r="L51" s="2">
        <v>91.7</v>
      </c>
      <c r="M51" s="2" t="s">
        <v>30</v>
      </c>
      <c r="N51" s="2">
        <v>17</v>
      </c>
      <c r="O51" s="2">
        <v>2947.6</v>
      </c>
      <c r="P51" s="2" t="s">
        <v>44</v>
      </c>
      <c r="Q51" s="2"/>
    </row>
    <row r="52" spans="1:17" x14ac:dyDescent="0.25">
      <c r="A52" s="2" t="s">
        <v>129</v>
      </c>
      <c r="B52" s="3">
        <v>46270</v>
      </c>
      <c r="C52" s="2" t="s">
        <v>82</v>
      </c>
      <c r="D52" s="2" t="s">
        <v>87</v>
      </c>
      <c r="E52" s="2" t="s">
        <v>41</v>
      </c>
      <c r="F52" s="2" t="s">
        <v>42</v>
      </c>
      <c r="G52" s="2" t="s">
        <v>43</v>
      </c>
      <c r="H52" s="2" t="s">
        <v>29</v>
      </c>
      <c r="I52" s="4">
        <v>1500</v>
      </c>
      <c r="J52" s="4">
        <v>13.43</v>
      </c>
      <c r="K52" s="4">
        <v>20145</v>
      </c>
      <c r="L52" s="2">
        <v>83.3</v>
      </c>
      <c r="M52" s="2" t="s">
        <v>37</v>
      </c>
      <c r="N52" s="2">
        <v>25</v>
      </c>
      <c r="O52" s="2">
        <v>2504.6999999999998</v>
      </c>
      <c r="P52" s="2" t="s">
        <v>68</v>
      </c>
      <c r="Q52" s="2" t="s">
        <v>62</v>
      </c>
    </row>
    <row r="53" spans="1:17" x14ac:dyDescent="0.25">
      <c r="A53" s="2" t="s">
        <v>130</v>
      </c>
      <c r="B53" s="3">
        <v>46195</v>
      </c>
      <c r="C53" s="2" t="s">
        <v>47</v>
      </c>
      <c r="D53" s="2" t="s">
        <v>40</v>
      </c>
      <c r="E53" s="2" t="s">
        <v>88</v>
      </c>
      <c r="F53" s="2" t="s">
        <v>89</v>
      </c>
      <c r="G53" s="2" t="s">
        <v>90</v>
      </c>
      <c r="H53" s="2" t="s">
        <v>52</v>
      </c>
      <c r="I53" s="4">
        <v>1000</v>
      </c>
      <c r="J53" s="4">
        <v>16.98</v>
      </c>
      <c r="K53" s="4">
        <v>16980</v>
      </c>
      <c r="L53" s="2">
        <v>85.6</v>
      </c>
      <c r="M53" s="2" t="s">
        <v>37</v>
      </c>
      <c r="N53" s="2">
        <v>29</v>
      </c>
      <c r="O53" s="2">
        <v>1007.6</v>
      </c>
      <c r="P53" s="2" t="s">
        <v>44</v>
      </c>
      <c r="Q53" s="2"/>
    </row>
    <row r="54" spans="1:17" x14ac:dyDescent="0.25">
      <c r="A54" s="2" t="s">
        <v>131</v>
      </c>
      <c r="B54" s="3">
        <v>46028</v>
      </c>
      <c r="C54" s="2" t="s">
        <v>84</v>
      </c>
      <c r="D54" s="2" t="s">
        <v>48</v>
      </c>
      <c r="E54" s="2" t="s">
        <v>41</v>
      </c>
      <c r="F54" s="2" t="s">
        <v>42</v>
      </c>
      <c r="G54" s="2" t="s">
        <v>43</v>
      </c>
      <c r="H54" s="2" t="s">
        <v>58</v>
      </c>
      <c r="I54" s="4">
        <v>1250</v>
      </c>
      <c r="J54" s="4">
        <v>21.98</v>
      </c>
      <c r="K54" s="4">
        <v>27475</v>
      </c>
      <c r="L54" s="2">
        <v>88.5</v>
      </c>
      <c r="M54" s="2" t="s">
        <v>37</v>
      </c>
      <c r="N54" s="2">
        <v>38</v>
      </c>
      <c r="O54" s="2">
        <v>1763.1</v>
      </c>
      <c r="P54" s="2" t="s">
        <v>61</v>
      </c>
      <c r="Q54" s="2" t="s">
        <v>62</v>
      </c>
    </row>
    <row r="55" spans="1:17" x14ac:dyDescent="0.25">
      <c r="A55" s="2" t="s">
        <v>132</v>
      </c>
      <c r="B55" s="3">
        <v>46070</v>
      </c>
      <c r="C55" s="2" t="s">
        <v>33</v>
      </c>
      <c r="D55" s="2" t="s">
        <v>48</v>
      </c>
      <c r="E55" s="2" t="s">
        <v>104</v>
      </c>
      <c r="F55" s="2" t="s">
        <v>95</v>
      </c>
      <c r="G55" s="2" t="s">
        <v>96</v>
      </c>
      <c r="H55" s="2" t="s">
        <v>78</v>
      </c>
      <c r="I55" s="4">
        <v>1250</v>
      </c>
      <c r="J55" s="4">
        <v>13.08</v>
      </c>
      <c r="K55" s="4">
        <v>16350</v>
      </c>
      <c r="L55" s="2">
        <v>90.5</v>
      </c>
      <c r="M55" s="2" t="s">
        <v>30</v>
      </c>
      <c r="N55" s="2">
        <v>41</v>
      </c>
      <c r="O55" s="2">
        <v>1347.7</v>
      </c>
      <c r="P55" s="2" t="s">
        <v>44</v>
      </c>
      <c r="Q55" s="2" t="s">
        <v>45</v>
      </c>
    </row>
    <row r="56" spans="1:17" x14ac:dyDescent="0.25">
      <c r="A56" s="2" t="s">
        <v>133</v>
      </c>
      <c r="B56" s="3">
        <v>46255</v>
      </c>
      <c r="C56" s="2" t="s">
        <v>33</v>
      </c>
      <c r="D56" s="2" t="s">
        <v>19</v>
      </c>
      <c r="E56" s="2" t="s">
        <v>55</v>
      </c>
      <c r="F56" s="2" t="s">
        <v>56</v>
      </c>
      <c r="G56" s="2" t="s">
        <v>57</v>
      </c>
      <c r="H56" s="2" t="s">
        <v>52</v>
      </c>
      <c r="I56" s="4">
        <v>1250</v>
      </c>
      <c r="J56" s="4">
        <v>9.09</v>
      </c>
      <c r="K56" s="4">
        <v>11362.5</v>
      </c>
      <c r="L56" s="2">
        <v>82.1</v>
      </c>
      <c r="M56" s="2" t="s">
        <v>37</v>
      </c>
      <c r="N56" s="2">
        <v>42</v>
      </c>
      <c r="O56" s="2">
        <v>2182.5</v>
      </c>
      <c r="P56" s="2" t="s">
        <v>68</v>
      </c>
      <c r="Q56" s="2" t="s">
        <v>53</v>
      </c>
    </row>
    <row r="57" spans="1:17" x14ac:dyDescent="0.25">
      <c r="A57" s="2" t="s">
        <v>134</v>
      </c>
      <c r="B57" s="3">
        <v>46270</v>
      </c>
      <c r="C57" s="2" t="s">
        <v>33</v>
      </c>
      <c r="D57" s="2" t="s">
        <v>19</v>
      </c>
      <c r="E57" s="2" t="s">
        <v>49</v>
      </c>
      <c r="F57" s="2" t="s">
        <v>50</v>
      </c>
      <c r="G57" s="2" t="s">
        <v>51</v>
      </c>
      <c r="H57" s="2" t="s">
        <v>58</v>
      </c>
      <c r="I57" s="4">
        <v>1250</v>
      </c>
      <c r="J57" s="4">
        <v>12.87</v>
      </c>
      <c r="K57" s="4">
        <v>16087.5</v>
      </c>
      <c r="L57" s="2">
        <v>85.8</v>
      </c>
      <c r="M57" s="2" t="s">
        <v>37</v>
      </c>
      <c r="N57" s="2">
        <v>8</v>
      </c>
      <c r="O57" s="2">
        <v>1848.5</v>
      </c>
      <c r="P57" s="2" t="s">
        <v>68</v>
      </c>
      <c r="Q57" s="2" t="s">
        <v>45</v>
      </c>
    </row>
    <row r="58" spans="1:17" x14ac:dyDescent="0.25">
      <c r="A58" s="2" t="s">
        <v>135</v>
      </c>
      <c r="B58" s="3">
        <v>46050</v>
      </c>
      <c r="C58" s="2" t="s">
        <v>84</v>
      </c>
      <c r="D58" s="2" t="s">
        <v>19</v>
      </c>
      <c r="E58" s="2" t="s">
        <v>104</v>
      </c>
      <c r="F58" s="2" t="s">
        <v>95</v>
      </c>
      <c r="G58" s="2" t="s">
        <v>96</v>
      </c>
      <c r="H58" s="2" t="s">
        <v>23</v>
      </c>
      <c r="I58" s="4">
        <v>3000</v>
      </c>
      <c r="J58" s="4">
        <v>8.7100000000000009</v>
      </c>
      <c r="K58" s="4">
        <v>26130</v>
      </c>
      <c r="L58" s="2">
        <v>78.3</v>
      </c>
      <c r="M58" s="2" t="s">
        <v>37</v>
      </c>
      <c r="N58" s="2">
        <v>38</v>
      </c>
      <c r="O58" s="2">
        <v>3679.8</v>
      </c>
      <c r="P58" s="2" t="s">
        <v>31</v>
      </c>
      <c r="Q58" s="2" t="s">
        <v>53</v>
      </c>
    </row>
    <row r="59" spans="1:17" x14ac:dyDescent="0.25">
      <c r="A59" s="2" t="s">
        <v>136</v>
      </c>
      <c r="B59" s="3">
        <v>46152</v>
      </c>
      <c r="C59" s="2" t="s">
        <v>82</v>
      </c>
      <c r="D59" s="2" t="s">
        <v>70</v>
      </c>
      <c r="E59" s="2" t="s">
        <v>104</v>
      </c>
      <c r="F59" s="2" t="s">
        <v>95</v>
      </c>
      <c r="G59" s="2" t="s">
        <v>96</v>
      </c>
      <c r="H59" s="2" t="s">
        <v>58</v>
      </c>
      <c r="I59" s="4">
        <v>2500</v>
      </c>
      <c r="J59" s="4">
        <v>17.07</v>
      </c>
      <c r="K59" s="4">
        <v>42675</v>
      </c>
      <c r="L59" s="2">
        <v>90.4</v>
      </c>
      <c r="M59" s="2" t="s">
        <v>85</v>
      </c>
      <c r="N59" s="2">
        <v>17</v>
      </c>
      <c r="O59" s="2">
        <v>2160.3000000000002</v>
      </c>
      <c r="P59" s="2" t="s">
        <v>44</v>
      </c>
      <c r="Q59" s="2" t="s">
        <v>45</v>
      </c>
    </row>
    <row r="60" spans="1:17" x14ac:dyDescent="0.25">
      <c r="A60" s="2" t="s">
        <v>137</v>
      </c>
      <c r="B60" s="3">
        <v>46150</v>
      </c>
      <c r="C60" s="2" t="s">
        <v>47</v>
      </c>
      <c r="D60" s="2" t="s">
        <v>87</v>
      </c>
      <c r="E60" s="2" t="s">
        <v>20</v>
      </c>
      <c r="F60" s="2" t="s">
        <v>21</v>
      </c>
      <c r="G60" s="2" t="s">
        <v>22</v>
      </c>
      <c r="H60" s="2" t="s">
        <v>29</v>
      </c>
      <c r="I60" s="4">
        <v>1250</v>
      </c>
      <c r="J60" s="4">
        <v>23.18</v>
      </c>
      <c r="K60" s="4">
        <v>28975</v>
      </c>
      <c r="L60" s="2">
        <v>86.2</v>
      </c>
      <c r="M60" s="2" t="s">
        <v>30</v>
      </c>
      <c r="N60" s="2">
        <v>27</v>
      </c>
      <c r="O60" s="2">
        <v>2057.6999999999998</v>
      </c>
      <c r="P60" s="2" t="s">
        <v>61</v>
      </c>
      <c r="Q60" s="2" t="s">
        <v>45</v>
      </c>
    </row>
    <row r="61" spans="1:17" x14ac:dyDescent="0.25">
      <c r="A61" s="2" t="s">
        <v>138</v>
      </c>
      <c r="B61" s="3">
        <v>46073</v>
      </c>
      <c r="C61" s="2" t="s">
        <v>27</v>
      </c>
      <c r="D61" s="2" t="s">
        <v>48</v>
      </c>
      <c r="E61" s="2" t="s">
        <v>104</v>
      </c>
      <c r="F61" s="2" t="s">
        <v>95</v>
      </c>
      <c r="G61" s="2" t="s">
        <v>96</v>
      </c>
      <c r="H61" s="2" t="s">
        <v>52</v>
      </c>
      <c r="I61" s="4">
        <v>750</v>
      </c>
      <c r="J61" s="4">
        <v>9.8800000000000008</v>
      </c>
      <c r="K61" s="4">
        <v>7410</v>
      </c>
      <c r="L61" s="2">
        <v>81.7</v>
      </c>
      <c r="M61" s="2" t="s">
        <v>37</v>
      </c>
      <c r="N61" s="2">
        <v>18</v>
      </c>
      <c r="O61" s="2">
        <v>527.20000000000005</v>
      </c>
      <c r="P61" s="2" t="s">
        <v>61</v>
      </c>
      <c r="Q61" s="2"/>
    </row>
    <row r="62" spans="1:17" x14ac:dyDescent="0.25">
      <c r="A62" s="2" t="s">
        <v>139</v>
      </c>
      <c r="B62" s="3">
        <v>46172</v>
      </c>
      <c r="C62" s="2" t="s">
        <v>47</v>
      </c>
      <c r="D62" s="2" t="s">
        <v>48</v>
      </c>
      <c r="E62" s="2" t="s">
        <v>65</v>
      </c>
      <c r="F62" s="2" t="s">
        <v>66</v>
      </c>
      <c r="G62" s="2" t="s">
        <v>67</v>
      </c>
      <c r="H62" s="2" t="s">
        <v>52</v>
      </c>
      <c r="I62" s="4">
        <v>1500</v>
      </c>
      <c r="J62" s="4">
        <v>21.61</v>
      </c>
      <c r="K62" s="4">
        <v>32415</v>
      </c>
      <c r="L62" s="2">
        <v>87.8</v>
      </c>
      <c r="M62" s="2" t="s">
        <v>37</v>
      </c>
      <c r="N62" s="2">
        <v>24</v>
      </c>
      <c r="O62" s="2">
        <v>2349.9</v>
      </c>
      <c r="P62" s="2" t="s">
        <v>44</v>
      </c>
      <c r="Q62" s="2"/>
    </row>
    <row r="63" spans="1:17" x14ac:dyDescent="0.25">
      <c r="A63" s="2" t="s">
        <v>140</v>
      </c>
      <c r="B63" s="3">
        <v>46240</v>
      </c>
      <c r="C63" s="2" t="s">
        <v>47</v>
      </c>
      <c r="D63" s="2" t="s">
        <v>48</v>
      </c>
      <c r="E63" s="2" t="s">
        <v>49</v>
      </c>
      <c r="F63" s="2" t="s">
        <v>50</v>
      </c>
      <c r="G63" s="2" t="s">
        <v>51</v>
      </c>
      <c r="H63" s="2" t="s">
        <v>23</v>
      </c>
      <c r="I63" s="4">
        <v>1500</v>
      </c>
      <c r="J63" s="4">
        <v>24.27</v>
      </c>
      <c r="K63" s="4">
        <v>36405</v>
      </c>
      <c r="L63" s="2">
        <v>79.5</v>
      </c>
      <c r="M63" s="2" t="s">
        <v>37</v>
      </c>
      <c r="N63" s="2">
        <v>27</v>
      </c>
      <c r="O63" s="2">
        <v>2031.8</v>
      </c>
      <c r="P63" s="2" t="s">
        <v>44</v>
      </c>
      <c r="Q63" s="2" t="s">
        <v>45</v>
      </c>
    </row>
    <row r="64" spans="1:17" x14ac:dyDescent="0.25">
      <c r="A64" s="2" t="s">
        <v>141</v>
      </c>
      <c r="B64" s="3">
        <v>46086</v>
      </c>
      <c r="C64" s="2" t="s">
        <v>82</v>
      </c>
      <c r="D64" s="2" t="s">
        <v>19</v>
      </c>
      <c r="E64" s="2" t="s">
        <v>142</v>
      </c>
      <c r="F64" s="2" t="s">
        <v>66</v>
      </c>
      <c r="G64" s="2" t="s">
        <v>67</v>
      </c>
      <c r="H64" s="2" t="s">
        <v>78</v>
      </c>
      <c r="I64" s="4">
        <v>1500</v>
      </c>
      <c r="J64" s="4">
        <v>17.260000000000002</v>
      </c>
      <c r="K64" s="4">
        <v>25890</v>
      </c>
      <c r="L64" s="2">
        <v>88.6</v>
      </c>
      <c r="M64" s="2" t="s">
        <v>37</v>
      </c>
      <c r="N64" s="2">
        <v>10</v>
      </c>
      <c r="O64" s="2">
        <v>2517.5</v>
      </c>
      <c r="P64" s="2" t="s">
        <v>31</v>
      </c>
      <c r="Q64" s="2" t="s">
        <v>38</v>
      </c>
    </row>
    <row r="65" spans="1:17" x14ac:dyDescent="0.25">
      <c r="A65" s="2" t="s">
        <v>143</v>
      </c>
      <c r="B65" s="3">
        <v>46036</v>
      </c>
      <c r="C65" s="2" t="s">
        <v>47</v>
      </c>
      <c r="D65" s="2" t="s">
        <v>48</v>
      </c>
      <c r="E65" s="2" t="s">
        <v>41</v>
      </c>
      <c r="F65" s="2" t="s">
        <v>42</v>
      </c>
      <c r="G65" s="2" t="s">
        <v>43</v>
      </c>
      <c r="H65" s="2" t="s">
        <v>29</v>
      </c>
      <c r="I65" s="4">
        <v>500</v>
      </c>
      <c r="J65" s="4">
        <v>27.99</v>
      </c>
      <c r="K65" s="4">
        <v>13995</v>
      </c>
      <c r="L65" s="2">
        <v>92.5</v>
      </c>
      <c r="M65" s="2" t="s">
        <v>37</v>
      </c>
      <c r="N65" s="2">
        <v>10</v>
      </c>
      <c r="O65" s="2">
        <v>769.7</v>
      </c>
      <c r="P65" s="2" t="s">
        <v>68</v>
      </c>
      <c r="Q65" s="2" t="s">
        <v>62</v>
      </c>
    </row>
    <row r="66" spans="1:17" x14ac:dyDescent="0.25">
      <c r="A66" s="2" t="s">
        <v>144</v>
      </c>
      <c r="B66" s="3">
        <v>46165</v>
      </c>
      <c r="C66" s="2" t="s">
        <v>27</v>
      </c>
      <c r="D66" s="2" t="s">
        <v>87</v>
      </c>
      <c r="E66" s="2" t="s">
        <v>65</v>
      </c>
      <c r="F66" s="2" t="s">
        <v>66</v>
      </c>
      <c r="G66" s="2" t="s">
        <v>67</v>
      </c>
      <c r="H66" s="2" t="s">
        <v>78</v>
      </c>
      <c r="I66" s="4">
        <v>750</v>
      </c>
      <c r="J66" s="4">
        <v>16.61</v>
      </c>
      <c r="K66" s="4">
        <v>12457.5</v>
      </c>
      <c r="L66" s="2">
        <v>86.8</v>
      </c>
      <c r="M66" s="2" t="s">
        <v>37</v>
      </c>
      <c r="N66" s="2">
        <v>14</v>
      </c>
      <c r="O66" s="2">
        <v>1232.5999999999999</v>
      </c>
      <c r="P66" s="2" t="s">
        <v>31</v>
      </c>
      <c r="Q66" s="2" t="s">
        <v>62</v>
      </c>
    </row>
    <row r="67" spans="1:17" x14ac:dyDescent="0.25">
      <c r="A67" s="2" t="s">
        <v>145</v>
      </c>
      <c r="B67" s="3">
        <v>46170</v>
      </c>
      <c r="C67" s="2" t="s">
        <v>18</v>
      </c>
      <c r="D67" s="2" t="s">
        <v>87</v>
      </c>
      <c r="E67" s="2" t="s">
        <v>65</v>
      </c>
      <c r="F67" s="2" t="s">
        <v>66</v>
      </c>
      <c r="G67" s="2" t="s">
        <v>67</v>
      </c>
      <c r="H67" s="2" t="s">
        <v>29</v>
      </c>
      <c r="I67" s="4">
        <v>500</v>
      </c>
      <c r="J67" s="4">
        <v>16.28</v>
      </c>
      <c r="K67" s="4">
        <v>8140</v>
      </c>
      <c r="L67" s="2">
        <v>84.8</v>
      </c>
      <c r="M67" s="2" t="s">
        <v>37</v>
      </c>
      <c r="N67" s="2">
        <v>15</v>
      </c>
      <c r="O67" s="2">
        <v>883.6</v>
      </c>
      <c r="P67" s="2" t="s">
        <v>61</v>
      </c>
      <c r="Q67" s="2" t="s">
        <v>38</v>
      </c>
    </row>
    <row r="68" spans="1:17" x14ac:dyDescent="0.25">
      <c r="A68" s="2" t="s">
        <v>146</v>
      </c>
      <c r="B68" s="3">
        <v>46259</v>
      </c>
      <c r="C68" s="2" t="s">
        <v>82</v>
      </c>
      <c r="D68" s="2" t="s">
        <v>28</v>
      </c>
      <c r="E68" s="2" t="s">
        <v>104</v>
      </c>
      <c r="F68" s="2" t="s">
        <v>95</v>
      </c>
      <c r="G68" s="2" t="s">
        <v>96</v>
      </c>
      <c r="H68" s="2" t="s">
        <v>23</v>
      </c>
      <c r="I68" s="4">
        <v>2000</v>
      </c>
      <c r="J68" s="4">
        <v>19.89</v>
      </c>
      <c r="K68" s="4">
        <v>39780</v>
      </c>
      <c r="L68" s="2">
        <v>88.7</v>
      </c>
      <c r="M68" s="2" t="s">
        <v>30</v>
      </c>
      <c r="N68" s="2">
        <v>11</v>
      </c>
      <c r="O68" s="2">
        <v>1847.8</v>
      </c>
      <c r="P68" s="2" t="s">
        <v>44</v>
      </c>
      <c r="Q68" s="2" t="s">
        <v>53</v>
      </c>
    </row>
    <row r="69" spans="1:17" x14ac:dyDescent="0.25">
      <c r="A69" s="2" t="s">
        <v>147</v>
      </c>
      <c r="B69" s="3">
        <v>46247</v>
      </c>
      <c r="C69" s="2" t="s">
        <v>18</v>
      </c>
      <c r="D69" s="2" t="s">
        <v>40</v>
      </c>
      <c r="E69" s="2" t="s">
        <v>41</v>
      </c>
      <c r="F69" s="2" t="s">
        <v>42</v>
      </c>
      <c r="G69" s="2" t="s">
        <v>43</v>
      </c>
      <c r="H69" s="2" t="s">
        <v>58</v>
      </c>
      <c r="I69" s="4">
        <v>500</v>
      </c>
      <c r="J69" s="4">
        <v>27.42</v>
      </c>
      <c r="K69" s="4">
        <v>13710</v>
      </c>
      <c r="L69" s="2">
        <v>91.1</v>
      </c>
      <c r="M69" s="2" t="s">
        <v>37</v>
      </c>
      <c r="N69" s="2">
        <v>18</v>
      </c>
      <c r="O69" s="2">
        <v>520.9</v>
      </c>
      <c r="P69" s="2" t="s">
        <v>25</v>
      </c>
      <c r="Q69" s="2" t="s">
        <v>38</v>
      </c>
    </row>
    <row r="70" spans="1:17" x14ac:dyDescent="0.25">
      <c r="A70" s="2" t="s">
        <v>148</v>
      </c>
      <c r="B70" s="3">
        <v>46070</v>
      </c>
      <c r="C70" s="2" t="s">
        <v>27</v>
      </c>
      <c r="D70" s="2" t="s">
        <v>70</v>
      </c>
      <c r="E70" s="2" t="s">
        <v>88</v>
      </c>
      <c r="F70" s="2" t="s">
        <v>89</v>
      </c>
      <c r="G70" s="2" t="s">
        <v>90</v>
      </c>
      <c r="H70" s="2" t="s">
        <v>78</v>
      </c>
      <c r="I70" s="4">
        <v>750</v>
      </c>
      <c r="J70" s="4">
        <v>20.43</v>
      </c>
      <c r="K70" s="4">
        <v>15322.5</v>
      </c>
      <c r="L70" s="2">
        <v>81.3</v>
      </c>
      <c r="M70" s="2" t="s">
        <v>37</v>
      </c>
      <c r="N70" s="2">
        <v>40</v>
      </c>
      <c r="O70" s="2">
        <v>1107</v>
      </c>
      <c r="P70" s="2" t="s">
        <v>61</v>
      </c>
      <c r="Q70" s="2" t="s">
        <v>62</v>
      </c>
    </row>
    <row r="71" spans="1:17" x14ac:dyDescent="0.25">
      <c r="A71" s="2" t="s">
        <v>91</v>
      </c>
      <c r="B71" s="3">
        <v>46102</v>
      </c>
      <c r="C71" s="2" t="s">
        <v>27</v>
      </c>
      <c r="D71" s="2" t="s">
        <v>19</v>
      </c>
      <c r="E71" s="2" t="s">
        <v>65</v>
      </c>
      <c r="F71" s="2" t="s">
        <v>66</v>
      </c>
      <c r="G71" s="2" t="s">
        <v>67</v>
      </c>
      <c r="H71" s="2" t="s">
        <v>23</v>
      </c>
      <c r="I71" s="4">
        <v>500</v>
      </c>
      <c r="J71" s="4">
        <v>18.95</v>
      </c>
      <c r="K71" s="4">
        <v>9475</v>
      </c>
      <c r="L71" s="2">
        <v>89.7</v>
      </c>
      <c r="M71" s="2" t="s">
        <v>37</v>
      </c>
      <c r="N71" s="2">
        <v>11</v>
      </c>
      <c r="O71" s="2">
        <v>377.6</v>
      </c>
      <c r="P71" s="2" t="s">
        <v>61</v>
      </c>
      <c r="Q71" s="2" t="s">
        <v>38</v>
      </c>
    </row>
    <row r="72" spans="1:17" x14ac:dyDescent="0.25">
      <c r="A72" s="2" t="s">
        <v>149</v>
      </c>
      <c r="B72" s="3">
        <v>46024</v>
      </c>
      <c r="C72" s="2" t="s">
        <v>33</v>
      </c>
      <c r="D72" s="2" t="s">
        <v>19</v>
      </c>
      <c r="E72" s="2" t="s">
        <v>41</v>
      </c>
      <c r="F72" s="2" t="s">
        <v>42</v>
      </c>
      <c r="G72" s="2" t="s">
        <v>43</v>
      </c>
      <c r="H72" s="2" t="s">
        <v>29</v>
      </c>
      <c r="I72" s="4">
        <v>3000</v>
      </c>
      <c r="J72" s="4">
        <v>25.1</v>
      </c>
      <c r="K72" s="4">
        <v>75300</v>
      </c>
      <c r="L72" s="2">
        <v>87.6</v>
      </c>
      <c r="M72" s="2" t="s">
        <v>30</v>
      </c>
      <c r="N72" s="2">
        <v>30</v>
      </c>
      <c r="O72" s="2">
        <v>3197.1</v>
      </c>
      <c r="P72" s="2" t="s">
        <v>44</v>
      </c>
      <c r="Q72" s="2" t="s">
        <v>62</v>
      </c>
    </row>
    <row r="73" spans="1:17" x14ac:dyDescent="0.25">
      <c r="A73" s="2" t="s">
        <v>150</v>
      </c>
      <c r="B73" s="3">
        <v>46187</v>
      </c>
      <c r="C73" s="2" t="s">
        <v>27</v>
      </c>
      <c r="D73" s="2" t="s">
        <v>48</v>
      </c>
      <c r="E73" s="2" t="s">
        <v>65</v>
      </c>
      <c r="F73" s="2" t="s">
        <v>66</v>
      </c>
      <c r="G73" s="2" t="s">
        <v>67</v>
      </c>
      <c r="H73" s="2" t="s">
        <v>29</v>
      </c>
      <c r="I73" s="4">
        <v>2500</v>
      </c>
      <c r="J73" s="4">
        <v>11.52</v>
      </c>
      <c r="K73" s="4">
        <v>28800</v>
      </c>
      <c r="L73" s="2">
        <v>94.7</v>
      </c>
      <c r="M73" s="2" t="s">
        <v>37</v>
      </c>
      <c r="N73" s="2">
        <v>28</v>
      </c>
      <c r="O73" s="2">
        <v>3797.9</v>
      </c>
      <c r="P73" s="2" t="s">
        <v>61</v>
      </c>
      <c r="Q73" s="2" t="s">
        <v>62</v>
      </c>
    </row>
    <row r="74" spans="1:17" x14ac:dyDescent="0.25">
      <c r="A74" s="2" t="s">
        <v>151</v>
      </c>
      <c r="B74" s="3">
        <v>46276</v>
      </c>
      <c r="C74" s="2" t="s">
        <v>47</v>
      </c>
      <c r="D74" s="2" t="s">
        <v>64</v>
      </c>
      <c r="E74" s="2" t="s">
        <v>34</v>
      </c>
      <c r="F74" s="2" t="s">
        <v>35</v>
      </c>
      <c r="G74" s="2" t="s">
        <v>36</v>
      </c>
      <c r="H74" s="2" t="s">
        <v>29</v>
      </c>
      <c r="I74" s="4">
        <v>2000</v>
      </c>
      <c r="J74" s="4">
        <v>25.2</v>
      </c>
      <c r="K74" s="4">
        <v>50400</v>
      </c>
      <c r="L74" s="2">
        <v>96.8</v>
      </c>
      <c r="M74" s="2" t="s">
        <v>30</v>
      </c>
      <c r="N74" s="2">
        <v>14</v>
      </c>
      <c r="O74" s="2">
        <v>2557.1</v>
      </c>
      <c r="P74" s="2" t="s">
        <v>61</v>
      </c>
      <c r="Q74" s="2"/>
    </row>
    <row r="75" spans="1:17" x14ac:dyDescent="0.25">
      <c r="A75" s="2" t="s">
        <v>152</v>
      </c>
      <c r="B75" s="3">
        <v>46232</v>
      </c>
      <c r="C75" s="2" t="s">
        <v>18</v>
      </c>
      <c r="D75" s="2" t="s">
        <v>64</v>
      </c>
      <c r="E75" s="2" t="s">
        <v>34</v>
      </c>
      <c r="F75" s="2" t="s">
        <v>35</v>
      </c>
      <c r="G75" s="2" t="s">
        <v>36</v>
      </c>
      <c r="H75" s="2" t="s">
        <v>58</v>
      </c>
      <c r="I75" s="4">
        <v>3000</v>
      </c>
      <c r="J75" s="4">
        <v>23.3</v>
      </c>
      <c r="K75" s="4">
        <v>69900</v>
      </c>
      <c r="L75" s="2">
        <v>83.7</v>
      </c>
      <c r="M75" s="2" t="s">
        <v>24</v>
      </c>
      <c r="N75" s="2">
        <v>33</v>
      </c>
      <c r="O75" s="2">
        <v>4244.5</v>
      </c>
      <c r="P75" s="2" t="s">
        <v>31</v>
      </c>
      <c r="Q75" s="2"/>
    </row>
    <row r="76" spans="1:17" x14ac:dyDescent="0.25">
      <c r="A76" s="2" t="s">
        <v>153</v>
      </c>
      <c r="B76" s="3">
        <v>46185</v>
      </c>
      <c r="C76" s="2" t="s">
        <v>18</v>
      </c>
      <c r="D76" s="2" t="s">
        <v>40</v>
      </c>
      <c r="E76" s="2" t="s">
        <v>88</v>
      </c>
      <c r="F76" s="2" t="s">
        <v>89</v>
      </c>
      <c r="G76" s="2" t="s">
        <v>90</v>
      </c>
      <c r="H76" s="2" t="s">
        <v>29</v>
      </c>
      <c r="I76" s="4">
        <v>500</v>
      </c>
      <c r="J76" s="4">
        <v>19.78</v>
      </c>
      <c r="K76" s="4">
        <v>9890</v>
      </c>
      <c r="L76" s="2">
        <v>83</v>
      </c>
      <c r="M76" s="2" t="s">
        <v>37</v>
      </c>
      <c r="N76" s="2">
        <v>22</v>
      </c>
      <c r="O76" s="2">
        <v>760.7</v>
      </c>
      <c r="P76" s="2" t="s">
        <v>61</v>
      </c>
      <c r="Q76" s="2"/>
    </row>
    <row r="77" spans="1:17" x14ac:dyDescent="0.25">
      <c r="A77" s="2" t="s">
        <v>154</v>
      </c>
      <c r="B77" s="3">
        <v>46250</v>
      </c>
      <c r="C77" s="2" t="s">
        <v>27</v>
      </c>
      <c r="D77" s="2" t="s">
        <v>19</v>
      </c>
      <c r="E77" s="2" t="s">
        <v>20</v>
      </c>
      <c r="F77" s="2" t="s">
        <v>21</v>
      </c>
      <c r="G77" s="2" t="s">
        <v>22</v>
      </c>
      <c r="H77" s="2" t="s">
        <v>58</v>
      </c>
      <c r="I77" s="4">
        <v>500</v>
      </c>
      <c r="J77" s="4">
        <v>13.47</v>
      </c>
      <c r="K77" s="4">
        <v>6735</v>
      </c>
      <c r="L77" s="2">
        <v>79.2</v>
      </c>
      <c r="M77" s="2" t="s">
        <v>37</v>
      </c>
      <c r="N77" s="2">
        <v>31</v>
      </c>
      <c r="O77" s="2">
        <v>586.9</v>
      </c>
      <c r="P77" s="2" t="s">
        <v>68</v>
      </c>
      <c r="Q77" s="2" t="s">
        <v>38</v>
      </c>
    </row>
    <row r="78" spans="1:17" x14ac:dyDescent="0.25">
      <c r="A78" s="2" t="s">
        <v>155</v>
      </c>
      <c r="B78" s="3">
        <v>46115</v>
      </c>
      <c r="C78" s="2" t="s">
        <v>156</v>
      </c>
      <c r="D78" s="2" t="s">
        <v>64</v>
      </c>
      <c r="E78" s="2" t="s">
        <v>88</v>
      </c>
      <c r="F78" s="2" t="s">
        <v>89</v>
      </c>
      <c r="G78" s="2" t="s">
        <v>90</v>
      </c>
      <c r="H78" s="2" t="s">
        <v>58</v>
      </c>
      <c r="I78" s="4">
        <v>2500</v>
      </c>
      <c r="J78" s="4">
        <v>19.82</v>
      </c>
      <c r="K78" s="4">
        <v>49550</v>
      </c>
      <c r="L78" s="2">
        <v>83.2</v>
      </c>
      <c r="M78" s="2" t="s">
        <v>24</v>
      </c>
      <c r="N78" s="2">
        <v>17</v>
      </c>
      <c r="O78" s="2">
        <v>2388.5</v>
      </c>
      <c r="P78" s="2" t="s">
        <v>31</v>
      </c>
      <c r="Q78" s="2" t="s">
        <v>62</v>
      </c>
    </row>
    <row r="79" spans="1:17" x14ac:dyDescent="0.25">
      <c r="A79" s="2" t="s">
        <v>157</v>
      </c>
      <c r="B79" s="3">
        <v>46027</v>
      </c>
      <c r="C79" s="2" t="s">
        <v>82</v>
      </c>
      <c r="D79" s="2" t="s">
        <v>19</v>
      </c>
      <c r="E79" s="2" t="s">
        <v>41</v>
      </c>
      <c r="F79" s="2" t="s">
        <v>42</v>
      </c>
      <c r="G79" s="2" t="s">
        <v>43</v>
      </c>
      <c r="H79" s="2" t="s">
        <v>29</v>
      </c>
      <c r="I79" s="4">
        <v>1000</v>
      </c>
      <c r="J79" s="4">
        <v>8.09</v>
      </c>
      <c r="K79" s="4">
        <v>8090</v>
      </c>
      <c r="L79" s="2">
        <v>98.3</v>
      </c>
      <c r="M79" s="2" t="s">
        <v>24</v>
      </c>
      <c r="N79" s="2">
        <v>27</v>
      </c>
      <c r="O79" s="2">
        <v>1402.8</v>
      </c>
      <c r="P79" s="2" t="s">
        <v>61</v>
      </c>
      <c r="Q79" s="2"/>
    </row>
    <row r="80" spans="1:17" x14ac:dyDescent="0.25">
      <c r="A80" s="2" t="s">
        <v>158</v>
      </c>
      <c r="B80" s="3">
        <v>46256</v>
      </c>
      <c r="C80" s="2" t="s">
        <v>33</v>
      </c>
      <c r="D80" s="2" t="s">
        <v>48</v>
      </c>
      <c r="E80" s="2" t="s">
        <v>41</v>
      </c>
      <c r="F80" s="2" t="s">
        <v>42</v>
      </c>
      <c r="G80" s="2" t="s">
        <v>43</v>
      </c>
      <c r="H80" s="2" t="s">
        <v>78</v>
      </c>
      <c r="I80" s="4">
        <v>3000</v>
      </c>
      <c r="J80" s="4">
        <v>8.7899999999999991</v>
      </c>
      <c r="K80" s="4">
        <v>26370</v>
      </c>
      <c r="L80" s="2">
        <v>86.2</v>
      </c>
      <c r="M80" s="2" t="s">
        <v>37</v>
      </c>
      <c r="N80" s="2">
        <v>26</v>
      </c>
      <c r="O80" s="2">
        <v>5375.9</v>
      </c>
      <c r="P80" s="2" t="s">
        <v>31</v>
      </c>
      <c r="Q80" s="2"/>
    </row>
    <row r="81" spans="1:17" x14ac:dyDescent="0.25">
      <c r="A81" s="2" t="s">
        <v>159</v>
      </c>
      <c r="B81" s="3">
        <v>46163</v>
      </c>
      <c r="C81" s="2" t="s">
        <v>47</v>
      </c>
      <c r="D81" s="2" t="s">
        <v>28</v>
      </c>
      <c r="E81" s="2" t="s">
        <v>88</v>
      </c>
      <c r="F81" s="2" t="s">
        <v>89</v>
      </c>
      <c r="G81" s="2" t="s">
        <v>90</v>
      </c>
      <c r="H81" s="2" t="s">
        <v>29</v>
      </c>
      <c r="I81" s="4">
        <v>3000</v>
      </c>
      <c r="J81" s="4">
        <v>24.41</v>
      </c>
      <c r="K81" s="4">
        <v>73230</v>
      </c>
      <c r="L81" s="2">
        <v>97.4</v>
      </c>
      <c r="M81" s="2" t="s">
        <v>37</v>
      </c>
      <c r="N81" s="2">
        <v>30</v>
      </c>
      <c r="O81" s="2">
        <v>2822.7</v>
      </c>
      <c r="P81" s="2" t="s">
        <v>68</v>
      </c>
      <c r="Q81" s="2" t="s">
        <v>38</v>
      </c>
    </row>
    <row r="82" spans="1:17" x14ac:dyDescent="0.25">
      <c r="A82" s="2" t="s">
        <v>160</v>
      </c>
      <c r="B82" s="3">
        <v>46093</v>
      </c>
      <c r="C82" s="2" t="s">
        <v>18</v>
      </c>
      <c r="D82" s="2" t="s">
        <v>70</v>
      </c>
      <c r="E82" s="2" t="s">
        <v>41</v>
      </c>
      <c r="F82" s="2" t="s">
        <v>42</v>
      </c>
      <c r="G82" s="2" t="s">
        <v>43</v>
      </c>
      <c r="H82" s="2" t="s">
        <v>58</v>
      </c>
      <c r="I82" s="4">
        <v>1500</v>
      </c>
      <c r="J82" s="4">
        <v>23.46</v>
      </c>
      <c r="K82" s="4">
        <v>35190</v>
      </c>
      <c r="L82" s="2">
        <v>78.7</v>
      </c>
      <c r="M82" s="2" t="s">
        <v>37</v>
      </c>
      <c r="N82" s="2">
        <v>16</v>
      </c>
      <c r="O82" s="2">
        <v>1198.7</v>
      </c>
      <c r="P82" s="2" t="s">
        <v>31</v>
      </c>
      <c r="Q82" s="2" t="s">
        <v>45</v>
      </c>
    </row>
    <row r="83" spans="1:17" x14ac:dyDescent="0.25">
      <c r="A83" s="2" t="s">
        <v>161</v>
      </c>
      <c r="B83" s="3">
        <v>46112</v>
      </c>
      <c r="C83" s="2" t="s">
        <v>27</v>
      </c>
      <c r="D83" s="2" t="s">
        <v>64</v>
      </c>
      <c r="E83" s="2" t="s">
        <v>88</v>
      </c>
      <c r="F83" s="2" t="s">
        <v>89</v>
      </c>
      <c r="G83" s="2" t="s">
        <v>90</v>
      </c>
      <c r="H83" s="2" t="s">
        <v>29</v>
      </c>
      <c r="I83" s="4">
        <v>2000</v>
      </c>
      <c r="J83" s="4">
        <v>17.91</v>
      </c>
      <c r="K83" s="4">
        <v>35820</v>
      </c>
      <c r="L83" s="2">
        <v>97.6</v>
      </c>
      <c r="M83" s="2" t="s">
        <v>37</v>
      </c>
      <c r="N83" s="2">
        <v>24</v>
      </c>
      <c r="O83" s="2">
        <v>3410.9</v>
      </c>
      <c r="P83" s="2" t="s">
        <v>61</v>
      </c>
      <c r="Q83" s="2" t="s">
        <v>45</v>
      </c>
    </row>
    <row r="84" spans="1:17" x14ac:dyDescent="0.25">
      <c r="A84" s="2" t="s">
        <v>162</v>
      </c>
      <c r="B84" s="3">
        <v>46081</v>
      </c>
      <c r="C84" s="2" t="s">
        <v>82</v>
      </c>
      <c r="D84" s="2" t="s">
        <v>70</v>
      </c>
      <c r="E84" s="2" t="s">
        <v>55</v>
      </c>
      <c r="F84" s="2" t="s">
        <v>56</v>
      </c>
      <c r="G84" s="2" t="s">
        <v>57</v>
      </c>
      <c r="H84" s="2" t="s">
        <v>23</v>
      </c>
      <c r="I84" s="4">
        <v>1250</v>
      </c>
      <c r="J84" s="4">
        <v>24.99</v>
      </c>
      <c r="K84" s="4">
        <v>31237.5</v>
      </c>
      <c r="L84" s="2">
        <v>93.6</v>
      </c>
      <c r="M84" s="2" t="s">
        <v>30</v>
      </c>
      <c r="N84" s="2">
        <v>31</v>
      </c>
      <c r="O84" s="2">
        <v>999.2</v>
      </c>
      <c r="P84" s="2" t="s">
        <v>61</v>
      </c>
      <c r="Q84" s="2"/>
    </row>
    <row r="85" spans="1:17" x14ac:dyDescent="0.25">
      <c r="A85" s="2" t="s">
        <v>163</v>
      </c>
      <c r="B85" s="3">
        <v>46086</v>
      </c>
      <c r="C85" s="2" t="s">
        <v>82</v>
      </c>
      <c r="D85" s="2" t="s">
        <v>74</v>
      </c>
      <c r="E85" s="2" t="s">
        <v>41</v>
      </c>
      <c r="F85" s="2" t="s">
        <v>42</v>
      </c>
      <c r="G85" s="2" t="s">
        <v>43</v>
      </c>
      <c r="H85" s="2" t="s">
        <v>52</v>
      </c>
      <c r="I85" s="4">
        <v>2500</v>
      </c>
      <c r="J85" s="4">
        <v>24.18</v>
      </c>
      <c r="K85" s="4">
        <v>60450</v>
      </c>
      <c r="L85" s="2"/>
      <c r="M85" s="2" t="s">
        <v>37</v>
      </c>
      <c r="N85" s="2">
        <v>22</v>
      </c>
      <c r="O85" s="2">
        <v>3046.6</v>
      </c>
      <c r="P85" s="2" t="s">
        <v>44</v>
      </c>
      <c r="Q85" s="2" t="s">
        <v>38</v>
      </c>
    </row>
    <row r="86" spans="1:17" x14ac:dyDescent="0.25">
      <c r="A86" s="2" t="s">
        <v>164</v>
      </c>
      <c r="B86" s="3">
        <v>46136</v>
      </c>
      <c r="C86" s="2" t="s">
        <v>18</v>
      </c>
      <c r="D86" s="2" t="s">
        <v>70</v>
      </c>
      <c r="E86" s="2" t="s">
        <v>55</v>
      </c>
      <c r="F86" s="2" t="s">
        <v>56</v>
      </c>
      <c r="G86" s="2" t="s">
        <v>57</v>
      </c>
      <c r="H86" s="2" t="s">
        <v>78</v>
      </c>
      <c r="I86" s="4">
        <v>1500</v>
      </c>
      <c r="J86" s="4">
        <v>20.46</v>
      </c>
      <c r="K86" s="4">
        <v>30690</v>
      </c>
      <c r="L86" s="2">
        <v>80.5</v>
      </c>
      <c r="M86" s="2" t="s">
        <v>37</v>
      </c>
      <c r="N86" s="2">
        <v>10</v>
      </c>
      <c r="O86" s="2">
        <v>1552.2</v>
      </c>
      <c r="P86" s="2" t="s">
        <v>61</v>
      </c>
      <c r="Q86" s="2"/>
    </row>
    <row r="87" spans="1:17" x14ac:dyDescent="0.25">
      <c r="A87" s="2" t="s">
        <v>165</v>
      </c>
      <c r="B87" s="3">
        <v>46143</v>
      </c>
      <c r="C87" s="2" t="s">
        <v>84</v>
      </c>
      <c r="D87" s="2" t="s">
        <v>64</v>
      </c>
      <c r="E87" s="2" t="s">
        <v>20</v>
      </c>
      <c r="F87" s="2" t="s">
        <v>21</v>
      </c>
      <c r="G87" s="2" t="s">
        <v>22</v>
      </c>
      <c r="H87" s="2" t="s">
        <v>78</v>
      </c>
      <c r="I87" s="4">
        <v>3000</v>
      </c>
      <c r="J87" s="4">
        <v>14.48</v>
      </c>
      <c r="K87" s="4">
        <v>43440</v>
      </c>
      <c r="L87" s="2">
        <v>98.4</v>
      </c>
      <c r="M87" s="2" t="s">
        <v>24</v>
      </c>
      <c r="N87" s="2">
        <v>34</v>
      </c>
      <c r="O87" s="2">
        <v>4038.2</v>
      </c>
      <c r="P87" s="2" t="s">
        <v>68</v>
      </c>
      <c r="Q87" s="2" t="s">
        <v>62</v>
      </c>
    </row>
    <row r="88" spans="1:17" x14ac:dyDescent="0.25">
      <c r="A88" s="2" t="s">
        <v>166</v>
      </c>
      <c r="B88" s="3">
        <v>46273</v>
      </c>
      <c r="C88" s="2" t="s">
        <v>84</v>
      </c>
      <c r="D88" s="2" t="s">
        <v>87</v>
      </c>
      <c r="E88" s="2" t="s">
        <v>20</v>
      </c>
      <c r="F88" s="2" t="s">
        <v>21</v>
      </c>
      <c r="G88" s="2" t="s">
        <v>22</v>
      </c>
      <c r="H88" s="2" t="s">
        <v>52</v>
      </c>
      <c r="I88" s="4">
        <v>500</v>
      </c>
      <c r="J88" s="4">
        <v>21.34</v>
      </c>
      <c r="K88" s="4">
        <v>10670</v>
      </c>
      <c r="L88" s="2">
        <v>82.7</v>
      </c>
      <c r="M88" s="2" t="s">
        <v>30</v>
      </c>
      <c r="N88" s="2">
        <v>23</v>
      </c>
      <c r="O88" s="2">
        <v>820.5</v>
      </c>
      <c r="P88" s="2" t="s">
        <v>25</v>
      </c>
      <c r="Q88" s="2"/>
    </row>
    <row r="89" spans="1:17" x14ac:dyDescent="0.25">
      <c r="A89" s="2" t="s">
        <v>167</v>
      </c>
      <c r="B89" s="3">
        <v>46206</v>
      </c>
      <c r="C89" s="2" t="s">
        <v>47</v>
      </c>
      <c r="D89" s="2" t="s">
        <v>87</v>
      </c>
      <c r="E89" s="2" t="s">
        <v>55</v>
      </c>
      <c r="F89" s="2" t="s">
        <v>56</v>
      </c>
      <c r="G89" s="2" t="s">
        <v>57</v>
      </c>
      <c r="H89" s="2" t="s">
        <v>52</v>
      </c>
      <c r="I89" s="4">
        <v>1250</v>
      </c>
      <c r="J89" s="4">
        <v>27.32</v>
      </c>
      <c r="K89" s="4">
        <v>34150</v>
      </c>
      <c r="L89" s="2">
        <v>98.4</v>
      </c>
      <c r="M89" s="2" t="s">
        <v>30</v>
      </c>
      <c r="N89" s="2">
        <v>13</v>
      </c>
      <c r="O89" s="2">
        <v>1786.3</v>
      </c>
      <c r="P89" s="2" t="s">
        <v>44</v>
      </c>
      <c r="Q89" s="2"/>
    </row>
    <row r="90" spans="1:17" x14ac:dyDescent="0.25">
      <c r="A90" s="2" t="s">
        <v>168</v>
      </c>
      <c r="B90" s="3">
        <v>46193</v>
      </c>
      <c r="C90" s="2" t="s">
        <v>27</v>
      </c>
      <c r="D90" s="2" t="s">
        <v>169</v>
      </c>
      <c r="E90" s="2" t="s">
        <v>104</v>
      </c>
      <c r="F90" s="2" t="s">
        <v>95</v>
      </c>
      <c r="G90" s="2" t="s">
        <v>96</v>
      </c>
      <c r="H90" s="2" t="s">
        <v>29</v>
      </c>
      <c r="I90" s="4">
        <v>1250</v>
      </c>
      <c r="J90" s="4">
        <v>7.98</v>
      </c>
      <c r="K90" s="4">
        <v>9975</v>
      </c>
      <c r="L90" s="2">
        <v>94.5</v>
      </c>
      <c r="M90" s="2" t="s">
        <v>37</v>
      </c>
      <c r="N90" s="2">
        <v>21</v>
      </c>
      <c r="O90" s="2">
        <v>1992.9</v>
      </c>
      <c r="P90" s="2" t="s">
        <v>68</v>
      </c>
      <c r="Q90" s="2" t="s">
        <v>45</v>
      </c>
    </row>
    <row r="91" spans="1:17" x14ac:dyDescent="0.25">
      <c r="A91" s="2" t="s">
        <v>170</v>
      </c>
      <c r="B91" s="3">
        <v>46024</v>
      </c>
      <c r="C91" s="2" t="s">
        <v>33</v>
      </c>
      <c r="D91" s="2" t="s">
        <v>64</v>
      </c>
      <c r="E91" s="2" t="s">
        <v>34</v>
      </c>
      <c r="F91" s="2" t="s">
        <v>35</v>
      </c>
      <c r="G91" s="2" t="s">
        <v>36</v>
      </c>
      <c r="H91" s="2" t="s">
        <v>23</v>
      </c>
      <c r="I91" s="4">
        <v>1500</v>
      </c>
      <c r="J91" s="4">
        <v>23.67</v>
      </c>
      <c r="K91" s="4">
        <v>35505</v>
      </c>
      <c r="L91" s="2">
        <v>80.400000000000006</v>
      </c>
      <c r="M91" s="2" t="s">
        <v>37</v>
      </c>
      <c r="N91" s="2">
        <v>16</v>
      </c>
      <c r="O91" s="2">
        <v>1074.5</v>
      </c>
      <c r="P91" s="2" t="s">
        <v>68</v>
      </c>
      <c r="Q91" s="2" t="s">
        <v>38</v>
      </c>
    </row>
    <row r="92" spans="1:17" x14ac:dyDescent="0.25">
      <c r="A92" s="2" t="s">
        <v>171</v>
      </c>
      <c r="B92" s="3">
        <v>46031</v>
      </c>
      <c r="C92" s="2" t="s">
        <v>27</v>
      </c>
      <c r="D92" s="2" t="s">
        <v>19</v>
      </c>
      <c r="E92" s="2" t="s">
        <v>55</v>
      </c>
      <c r="F92" s="2" t="s">
        <v>56</v>
      </c>
      <c r="G92" s="2" t="s">
        <v>57</v>
      </c>
      <c r="H92" s="2" t="s">
        <v>58</v>
      </c>
      <c r="I92" s="4">
        <v>1000</v>
      </c>
      <c r="J92" s="4">
        <v>22.45</v>
      </c>
      <c r="K92" s="4">
        <v>22450</v>
      </c>
      <c r="L92" s="2">
        <v>89.3</v>
      </c>
      <c r="M92" s="2" t="s">
        <v>37</v>
      </c>
      <c r="N92" s="2">
        <v>38</v>
      </c>
      <c r="O92" s="2">
        <v>1193.0999999999999</v>
      </c>
      <c r="P92" s="2" t="s">
        <v>31</v>
      </c>
      <c r="Q92" s="2" t="s">
        <v>38</v>
      </c>
    </row>
    <row r="93" spans="1:17" x14ac:dyDescent="0.25">
      <c r="A93" s="2" t="s">
        <v>172</v>
      </c>
      <c r="B93" s="3">
        <v>46254</v>
      </c>
      <c r="C93" s="2" t="s">
        <v>84</v>
      </c>
      <c r="D93" s="2" t="s">
        <v>48</v>
      </c>
      <c r="E93" s="2" t="s">
        <v>20</v>
      </c>
      <c r="F93" s="2" t="s">
        <v>21</v>
      </c>
      <c r="G93" s="2" t="s">
        <v>22</v>
      </c>
      <c r="H93" s="2" t="s">
        <v>29</v>
      </c>
      <c r="I93" s="4">
        <v>500</v>
      </c>
      <c r="J93" s="4">
        <v>22.14</v>
      </c>
      <c r="K93" s="4">
        <v>11070</v>
      </c>
      <c r="L93" s="2">
        <v>97.5</v>
      </c>
      <c r="M93" s="2" t="s">
        <v>24</v>
      </c>
      <c r="N93" s="2">
        <v>27</v>
      </c>
      <c r="O93" s="2">
        <v>601.9</v>
      </c>
      <c r="P93" s="2" t="s">
        <v>25</v>
      </c>
      <c r="Q93" s="2"/>
    </row>
    <row r="94" spans="1:17" x14ac:dyDescent="0.25">
      <c r="A94" s="2" t="s">
        <v>173</v>
      </c>
      <c r="B94" s="3">
        <v>46228</v>
      </c>
      <c r="C94" s="2" t="s">
        <v>82</v>
      </c>
      <c r="D94" s="2" t="s">
        <v>70</v>
      </c>
      <c r="E94" s="2" t="s">
        <v>65</v>
      </c>
      <c r="F94" s="2" t="s">
        <v>66</v>
      </c>
      <c r="G94" s="2" t="s">
        <v>67</v>
      </c>
      <c r="H94" s="2" t="s">
        <v>78</v>
      </c>
      <c r="I94" s="4">
        <v>3000</v>
      </c>
      <c r="J94" s="4">
        <v>8.08</v>
      </c>
      <c r="K94" s="4">
        <v>24240</v>
      </c>
      <c r="L94" s="2">
        <v>79.7</v>
      </c>
      <c r="M94" s="2" t="s">
        <v>24</v>
      </c>
      <c r="N94" s="2">
        <v>17</v>
      </c>
      <c r="O94" s="2">
        <v>2316.8000000000002</v>
      </c>
      <c r="P94" s="2" t="s">
        <v>31</v>
      </c>
      <c r="Q94" s="2" t="s">
        <v>38</v>
      </c>
    </row>
    <row r="95" spans="1:17" x14ac:dyDescent="0.25">
      <c r="A95" s="2" t="s">
        <v>174</v>
      </c>
      <c r="B95" s="3">
        <v>46218</v>
      </c>
      <c r="C95" s="2" t="s">
        <v>84</v>
      </c>
      <c r="D95" s="2" t="s">
        <v>19</v>
      </c>
      <c r="E95" s="2" t="s">
        <v>55</v>
      </c>
      <c r="F95" s="2" t="s">
        <v>56</v>
      </c>
      <c r="G95" s="2" t="s">
        <v>57</v>
      </c>
      <c r="H95" s="2" t="s">
        <v>78</v>
      </c>
      <c r="I95" s="4">
        <v>2500</v>
      </c>
      <c r="J95" s="4">
        <v>8.6300000000000008</v>
      </c>
      <c r="K95" s="4">
        <v>21575</v>
      </c>
      <c r="L95" s="2">
        <v>93.1</v>
      </c>
      <c r="M95" s="2" t="s">
        <v>24</v>
      </c>
      <c r="N95" s="2">
        <v>21</v>
      </c>
      <c r="O95" s="2">
        <v>2932.7</v>
      </c>
      <c r="P95" s="2" t="s">
        <v>68</v>
      </c>
      <c r="Q95" s="2" t="s">
        <v>62</v>
      </c>
    </row>
    <row r="96" spans="1:17" x14ac:dyDescent="0.25">
      <c r="A96" s="2" t="s">
        <v>175</v>
      </c>
      <c r="B96" s="3">
        <v>46255</v>
      </c>
      <c r="C96" s="2" t="s">
        <v>82</v>
      </c>
      <c r="D96" s="2" t="s">
        <v>87</v>
      </c>
      <c r="E96" s="2" t="s">
        <v>55</v>
      </c>
      <c r="F96" s="2" t="s">
        <v>56</v>
      </c>
      <c r="G96" s="2" t="s">
        <v>57</v>
      </c>
      <c r="H96" s="2" t="s">
        <v>58</v>
      </c>
      <c r="I96" s="4">
        <v>2000</v>
      </c>
      <c r="J96" s="4">
        <v>15.68</v>
      </c>
      <c r="K96" s="4">
        <v>31360</v>
      </c>
      <c r="L96" s="2">
        <v>92.3</v>
      </c>
      <c r="M96" s="2" t="s">
        <v>37</v>
      </c>
      <c r="N96" s="2">
        <v>17</v>
      </c>
      <c r="O96" s="2">
        <v>2911</v>
      </c>
      <c r="P96" s="2" t="s">
        <v>61</v>
      </c>
      <c r="Q96" s="2" t="s">
        <v>108</v>
      </c>
    </row>
    <row r="97" spans="1:17" x14ac:dyDescent="0.25">
      <c r="A97" s="2" t="s">
        <v>176</v>
      </c>
      <c r="B97" s="3">
        <v>46066</v>
      </c>
      <c r="C97" s="2" t="s">
        <v>47</v>
      </c>
      <c r="D97" s="2" t="s">
        <v>87</v>
      </c>
      <c r="E97" s="2" t="s">
        <v>20</v>
      </c>
      <c r="F97" s="2" t="s">
        <v>21</v>
      </c>
      <c r="G97" s="2" t="s">
        <v>22</v>
      </c>
      <c r="H97" s="2" t="s">
        <v>58</v>
      </c>
      <c r="I97" s="4">
        <v>2000</v>
      </c>
      <c r="J97" s="4">
        <v>23.95</v>
      </c>
      <c r="K97" s="4">
        <v>47900</v>
      </c>
      <c r="L97" s="2">
        <v>90</v>
      </c>
      <c r="M97" s="2" t="s">
        <v>24</v>
      </c>
      <c r="N97" s="2">
        <v>29</v>
      </c>
      <c r="O97" s="2">
        <v>2874</v>
      </c>
      <c r="P97" s="2" t="s">
        <v>61</v>
      </c>
      <c r="Q97" s="2" t="s">
        <v>45</v>
      </c>
    </row>
    <row r="98" spans="1:17" x14ac:dyDescent="0.25">
      <c r="A98" s="2" t="s">
        <v>177</v>
      </c>
      <c r="B98" s="3">
        <v>46049</v>
      </c>
      <c r="C98" s="2" t="s">
        <v>33</v>
      </c>
      <c r="D98" s="2" t="s">
        <v>19</v>
      </c>
      <c r="E98" s="2" t="s">
        <v>88</v>
      </c>
      <c r="F98" s="2" t="s">
        <v>89</v>
      </c>
      <c r="G98" s="2" t="s">
        <v>90</v>
      </c>
      <c r="H98" s="2" t="s">
        <v>52</v>
      </c>
      <c r="I98" s="4">
        <v>750</v>
      </c>
      <c r="J98" s="4">
        <v>18.93</v>
      </c>
      <c r="K98" s="4">
        <v>14197.5</v>
      </c>
      <c r="L98" s="2">
        <v>82.6</v>
      </c>
      <c r="M98" s="2" t="s">
        <v>30</v>
      </c>
      <c r="N98" s="2">
        <v>22</v>
      </c>
      <c r="O98" s="2">
        <v>1224</v>
      </c>
      <c r="P98" s="2" t="s">
        <v>31</v>
      </c>
      <c r="Q98" s="2" t="s">
        <v>38</v>
      </c>
    </row>
    <row r="99" spans="1:17" x14ac:dyDescent="0.25">
      <c r="A99" s="2" t="s">
        <v>178</v>
      </c>
      <c r="B99" s="3">
        <v>46081</v>
      </c>
      <c r="C99" s="2" t="s">
        <v>33</v>
      </c>
      <c r="D99" s="2" t="s">
        <v>48</v>
      </c>
      <c r="E99" s="2" t="s">
        <v>55</v>
      </c>
      <c r="F99" s="2" t="s">
        <v>56</v>
      </c>
      <c r="G99" s="2" t="s">
        <v>57</v>
      </c>
      <c r="H99" s="2" t="s">
        <v>78</v>
      </c>
      <c r="I99" s="4">
        <v>500</v>
      </c>
      <c r="J99" s="4">
        <v>19.59</v>
      </c>
      <c r="K99" s="4">
        <v>9795</v>
      </c>
      <c r="L99" s="2">
        <v>92.1</v>
      </c>
      <c r="M99" s="2" t="s">
        <v>37</v>
      </c>
      <c r="N99" s="2">
        <v>9</v>
      </c>
      <c r="O99" s="2">
        <v>449.2</v>
      </c>
      <c r="P99" s="2" t="s">
        <v>31</v>
      </c>
      <c r="Q99" s="2" t="s">
        <v>45</v>
      </c>
    </row>
    <row r="100" spans="1:17" x14ac:dyDescent="0.25">
      <c r="A100" s="2" t="s">
        <v>179</v>
      </c>
      <c r="B100" s="3">
        <v>46026</v>
      </c>
      <c r="C100" s="2" t="s">
        <v>27</v>
      </c>
      <c r="D100" s="2" t="s">
        <v>64</v>
      </c>
      <c r="E100" s="2" t="s">
        <v>55</v>
      </c>
      <c r="F100" s="2" t="s">
        <v>56</v>
      </c>
      <c r="G100" s="2" t="s">
        <v>57</v>
      </c>
      <c r="H100" s="2" t="s">
        <v>29</v>
      </c>
      <c r="I100" s="4">
        <v>2500</v>
      </c>
      <c r="J100" s="4">
        <v>8</v>
      </c>
      <c r="K100" s="4">
        <v>20000</v>
      </c>
      <c r="L100" s="2">
        <v>93.9</v>
      </c>
      <c r="M100" s="2" t="s">
        <v>37</v>
      </c>
      <c r="N100" s="2">
        <v>13</v>
      </c>
      <c r="O100" s="2">
        <v>3801.8</v>
      </c>
      <c r="P100" s="2" t="s">
        <v>68</v>
      </c>
      <c r="Q100" s="2" t="s">
        <v>62</v>
      </c>
    </row>
    <row r="101" spans="1:17" x14ac:dyDescent="0.25">
      <c r="A101" s="2" t="s">
        <v>180</v>
      </c>
      <c r="B101" s="3">
        <v>46255</v>
      </c>
      <c r="C101" s="2" t="s">
        <v>33</v>
      </c>
      <c r="D101" s="2" t="s">
        <v>64</v>
      </c>
      <c r="E101" s="2" t="s">
        <v>88</v>
      </c>
      <c r="F101" s="2" t="s">
        <v>89</v>
      </c>
      <c r="G101" s="2" t="s">
        <v>90</v>
      </c>
      <c r="H101" s="2" t="s">
        <v>52</v>
      </c>
      <c r="I101" s="4">
        <v>1500</v>
      </c>
      <c r="J101" s="4">
        <v>22.01</v>
      </c>
      <c r="K101" s="4">
        <v>33015</v>
      </c>
      <c r="L101" s="2">
        <v>94.7</v>
      </c>
      <c r="M101" s="2" t="s">
        <v>24</v>
      </c>
      <c r="N101" s="2">
        <v>13</v>
      </c>
      <c r="O101" s="2">
        <v>2507.5</v>
      </c>
      <c r="P101" s="2" t="s">
        <v>68</v>
      </c>
      <c r="Q101" s="2" t="s">
        <v>53</v>
      </c>
    </row>
    <row r="102" spans="1:17" x14ac:dyDescent="0.25">
      <c r="A102" s="2" t="s">
        <v>181</v>
      </c>
      <c r="B102" s="3">
        <v>46064</v>
      </c>
      <c r="C102" s="2" t="s">
        <v>33</v>
      </c>
      <c r="D102" s="2" t="s">
        <v>40</v>
      </c>
      <c r="E102" s="2" t="s">
        <v>104</v>
      </c>
      <c r="F102" s="2" t="s">
        <v>95</v>
      </c>
      <c r="G102" s="2" t="s">
        <v>96</v>
      </c>
      <c r="H102" s="2" t="s">
        <v>78</v>
      </c>
      <c r="I102" s="4">
        <v>3000</v>
      </c>
      <c r="J102" s="4">
        <v>19.55</v>
      </c>
      <c r="K102" s="4">
        <v>58650</v>
      </c>
      <c r="L102" s="2">
        <v>86.9</v>
      </c>
      <c r="M102" s="2" t="s">
        <v>85</v>
      </c>
      <c r="N102" s="2">
        <v>40</v>
      </c>
      <c r="O102" s="2">
        <v>2475.6</v>
      </c>
      <c r="P102" s="2" t="s">
        <v>61</v>
      </c>
      <c r="Q102" s="2"/>
    </row>
    <row r="103" spans="1:17" x14ac:dyDescent="0.25">
      <c r="A103" s="2" t="s">
        <v>182</v>
      </c>
      <c r="B103" s="3">
        <v>46272</v>
      </c>
      <c r="C103" s="2" t="s">
        <v>84</v>
      </c>
      <c r="D103" s="2" t="s">
        <v>19</v>
      </c>
      <c r="E103" s="2" t="s">
        <v>41</v>
      </c>
      <c r="F103" s="2" t="s">
        <v>42</v>
      </c>
      <c r="G103" s="2" t="s">
        <v>43</v>
      </c>
      <c r="H103" s="2" t="s">
        <v>58</v>
      </c>
      <c r="I103" s="4">
        <v>1250</v>
      </c>
      <c r="J103" s="4">
        <v>15</v>
      </c>
      <c r="K103" s="4">
        <v>18750</v>
      </c>
      <c r="L103" s="2">
        <v>90.9</v>
      </c>
      <c r="M103" s="2" t="s">
        <v>37</v>
      </c>
      <c r="N103" s="2">
        <v>21</v>
      </c>
      <c r="O103" s="2">
        <v>1289.5</v>
      </c>
      <c r="P103" s="2" t="s">
        <v>68</v>
      </c>
      <c r="Q103" s="2" t="s">
        <v>53</v>
      </c>
    </row>
    <row r="104" spans="1:17" x14ac:dyDescent="0.25">
      <c r="A104" s="2" t="s">
        <v>183</v>
      </c>
      <c r="B104" s="3">
        <v>46171</v>
      </c>
      <c r="C104" s="2" t="s">
        <v>33</v>
      </c>
      <c r="D104" s="2" t="s">
        <v>70</v>
      </c>
      <c r="E104" s="2" t="s">
        <v>41</v>
      </c>
      <c r="F104" s="2" t="s">
        <v>42</v>
      </c>
      <c r="G104" s="2" t="s">
        <v>43</v>
      </c>
      <c r="H104" s="2" t="s">
        <v>58</v>
      </c>
      <c r="I104" s="4">
        <v>3000</v>
      </c>
      <c r="J104" s="4">
        <v>22.56</v>
      </c>
      <c r="K104" s="4">
        <v>67680</v>
      </c>
      <c r="L104" s="2">
        <v>81.8</v>
      </c>
      <c r="M104" s="2" t="s">
        <v>30</v>
      </c>
      <c r="N104" s="2">
        <v>42</v>
      </c>
      <c r="O104" s="2">
        <v>4422.1000000000004</v>
      </c>
      <c r="P104" s="2" t="s">
        <v>44</v>
      </c>
      <c r="Q104" s="2" t="s">
        <v>38</v>
      </c>
    </row>
    <row r="105" spans="1:17" x14ac:dyDescent="0.25">
      <c r="A105" s="2" t="s">
        <v>184</v>
      </c>
      <c r="B105" s="3">
        <v>46059</v>
      </c>
      <c r="C105" s="2" t="s">
        <v>82</v>
      </c>
      <c r="D105" s="2" t="s">
        <v>28</v>
      </c>
      <c r="E105" s="2" t="s">
        <v>55</v>
      </c>
      <c r="F105" s="2" t="s">
        <v>56</v>
      </c>
      <c r="G105" s="2" t="s">
        <v>57</v>
      </c>
      <c r="H105" s="2" t="s">
        <v>78</v>
      </c>
      <c r="I105" s="4">
        <v>500</v>
      </c>
      <c r="J105" s="4">
        <v>16.38</v>
      </c>
      <c r="K105" s="4">
        <v>8190</v>
      </c>
      <c r="L105" s="2">
        <v>79.7</v>
      </c>
      <c r="M105" s="2" t="s">
        <v>37</v>
      </c>
      <c r="N105" s="2">
        <v>35</v>
      </c>
      <c r="O105" s="2">
        <v>665.4</v>
      </c>
      <c r="P105" s="2" t="s">
        <v>61</v>
      </c>
      <c r="Q105" s="2" t="s">
        <v>45</v>
      </c>
    </row>
    <row r="106" spans="1:17" x14ac:dyDescent="0.25">
      <c r="A106" s="2" t="s">
        <v>185</v>
      </c>
      <c r="B106" s="3">
        <v>46230</v>
      </c>
      <c r="C106" s="2" t="s">
        <v>47</v>
      </c>
      <c r="D106" s="2" t="s">
        <v>74</v>
      </c>
      <c r="E106" s="2" t="s">
        <v>20</v>
      </c>
      <c r="F106" s="2" t="s">
        <v>21</v>
      </c>
      <c r="G106" s="2" t="s">
        <v>22</v>
      </c>
      <c r="H106" s="2" t="s">
        <v>23</v>
      </c>
      <c r="I106" s="4">
        <v>3000</v>
      </c>
      <c r="J106" s="4">
        <v>24.39</v>
      </c>
      <c r="K106" s="4">
        <v>73170</v>
      </c>
      <c r="L106" s="2">
        <v>97.8</v>
      </c>
      <c r="M106" s="2" t="s">
        <v>37</v>
      </c>
      <c r="N106" s="2">
        <v>35</v>
      </c>
      <c r="O106" s="2">
        <v>4886.8</v>
      </c>
      <c r="P106" s="2" t="s">
        <v>68</v>
      </c>
      <c r="Q106" s="2" t="s">
        <v>62</v>
      </c>
    </row>
    <row r="107" spans="1:17" x14ac:dyDescent="0.25">
      <c r="A107" s="2" t="s">
        <v>186</v>
      </c>
      <c r="B107" s="3">
        <v>46291</v>
      </c>
      <c r="C107" s="2" t="s">
        <v>47</v>
      </c>
      <c r="D107" s="2" t="s">
        <v>87</v>
      </c>
      <c r="E107" s="2" t="s">
        <v>88</v>
      </c>
      <c r="F107" s="2" t="s">
        <v>89</v>
      </c>
      <c r="G107" s="2" t="s">
        <v>90</v>
      </c>
      <c r="H107" s="2" t="s">
        <v>52</v>
      </c>
      <c r="I107" s="4">
        <v>2000</v>
      </c>
      <c r="J107" s="4">
        <v>11.26</v>
      </c>
      <c r="K107" s="4">
        <v>22520</v>
      </c>
      <c r="L107" s="2">
        <v>94.8</v>
      </c>
      <c r="M107" s="2" t="s">
        <v>37</v>
      </c>
      <c r="N107" s="2">
        <v>40</v>
      </c>
      <c r="O107" s="2">
        <v>2793.1</v>
      </c>
      <c r="P107" s="2" t="s">
        <v>44</v>
      </c>
      <c r="Q107" s="2" t="s">
        <v>38</v>
      </c>
    </row>
    <row r="108" spans="1:17" x14ac:dyDescent="0.25">
      <c r="A108" s="2" t="s">
        <v>187</v>
      </c>
      <c r="B108" s="3">
        <v>46201</v>
      </c>
      <c r="C108" s="2" t="s">
        <v>33</v>
      </c>
      <c r="D108" s="2" t="s">
        <v>64</v>
      </c>
      <c r="E108" s="2" t="s">
        <v>49</v>
      </c>
      <c r="F108" s="2" t="s">
        <v>50</v>
      </c>
      <c r="G108" s="2" t="s">
        <v>51</v>
      </c>
      <c r="H108" s="2" t="s">
        <v>23</v>
      </c>
      <c r="I108" s="4">
        <v>750</v>
      </c>
      <c r="J108" s="4">
        <v>9.65</v>
      </c>
      <c r="K108" s="4">
        <v>7237.5</v>
      </c>
      <c r="L108" s="2">
        <v>82.2</v>
      </c>
      <c r="M108" s="2" t="s">
        <v>24</v>
      </c>
      <c r="N108" s="2">
        <v>17</v>
      </c>
      <c r="O108" s="2">
        <v>1152.2</v>
      </c>
      <c r="P108" s="2" t="s">
        <v>25</v>
      </c>
      <c r="Q108" s="2" t="s">
        <v>53</v>
      </c>
    </row>
    <row r="109" spans="1:17" x14ac:dyDescent="0.25">
      <c r="A109" s="2" t="s">
        <v>188</v>
      </c>
      <c r="B109" s="3">
        <v>46260</v>
      </c>
      <c r="C109" s="2" t="s">
        <v>84</v>
      </c>
      <c r="D109" s="2" t="s">
        <v>40</v>
      </c>
      <c r="E109" s="2" t="s">
        <v>65</v>
      </c>
      <c r="F109" s="2" t="s">
        <v>66</v>
      </c>
      <c r="G109" s="2" t="s">
        <v>67</v>
      </c>
      <c r="H109" s="2" t="s">
        <v>29</v>
      </c>
      <c r="I109" s="4">
        <v>2000</v>
      </c>
      <c r="J109" s="4">
        <v>25.08</v>
      </c>
      <c r="K109" s="4">
        <v>50160</v>
      </c>
      <c r="L109" s="2">
        <v>91.5</v>
      </c>
      <c r="M109" s="2" t="s">
        <v>37</v>
      </c>
      <c r="N109" s="2">
        <v>36</v>
      </c>
      <c r="O109" s="2">
        <v>1550.2</v>
      </c>
      <c r="P109" s="2" t="s">
        <v>61</v>
      </c>
      <c r="Q109" s="2"/>
    </row>
    <row r="110" spans="1:17" x14ac:dyDescent="0.25">
      <c r="A110" s="2" t="s">
        <v>189</v>
      </c>
      <c r="B110" s="3">
        <v>46163</v>
      </c>
      <c r="C110" s="2" t="s">
        <v>84</v>
      </c>
      <c r="D110" s="2" t="s">
        <v>28</v>
      </c>
      <c r="E110" s="2" t="s">
        <v>41</v>
      </c>
      <c r="F110" s="2" t="s">
        <v>42</v>
      </c>
      <c r="G110" s="2" t="s">
        <v>43</v>
      </c>
      <c r="H110" s="2" t="s">
        <v>52</v>
      </c>
      <c r="I110" s="4">
        <v>750</v>
      </c>
      <c r="J110" s="4">
        <v>13.17</v>
      </c>
      <c r="K110" s="4">
        <v>9877.5</v>
      </c>
      <c r="L110" s="2">
        <v>87.7</v>
      </c>
      <c r="M110" s="2" t="s">
        <v>37</v>
      </c>
      <c r="N110" s="2">
        <v>31</v>
      </c>
      <c r="O110" s="2">
        <v>1211.0999999999999</v>
      </c>
      <c r="P110" s="2" t="s">
        <v>25</v>
      </c>
      <c r="Q110" s="2"/>
    </row>
    <row r="111" spans="1:17" x14ac:dyDescent="0.25">
      <c r="A111" s="2" t="s">
        <v>190</v>
      </c>
      <c r="B111" s="3">
        <v>46282</v>
      </c>
      <c r="C111" s="2" t="s">
        <v>82</v>
      </c>
      <c r="D111" s="2" t="s">
        <v>40</v>
      </c>
      <c r="E111" s="2" t="s">
        <v>20</v>
      </c>
      <c r="F111" s="2" t="s">
        <v>21</v>
      </c>
      <c r="G111" s="2" t="s">
        <v>22</v>
      </c>
      <c r="H111" s="2" t="s">
        <v>29</v>
      </c>
      <c r="I111" s="4">
        <v>500</v>
      </c>
      <c r="J111" s="4">
        <v>16.170000000000002</v>
      </c>
      <c r="K111" s="4">
        <v>8085</v>
      </c>
      <c r="L111" s="2">
        <v>95.4</v>
      </c>
      <c r="M111" s="2" t="s">
        <v>37</v>
      </c>
      <c r="N111" s="2">
        <v>28</v>
      </c>
      <c r="O111" s="2">
        <v>682.8</v>
      </c>
      <c r="P111" s="2" t="s">
        <v>44</v>
      </c>
      <c r="Q111" s="2" t="s">
        <v>53</v>
      </c>
    </row>
    <row r="112" spans="1:17" x14ac:dyDescent="0.25">
      <c r="A112" s="2" t="s">
        <v>191</v>
      </c>
      <c r="B112" s="3">
        <v>46253</v>
      </c>
      <c r="C112" s="2" t="s">
        <v>47</v>
      </c>
      <c r="D112" s="2" t="s">
        <v>74</v>
      </c>
      <c r="E112" s="2" t="s">
        <v>104</v>
      </c>
      <c r="F112" s="2" t="s">
        <v>95</v>
      </c>
      <c r="G112" s="2" t="s">
        <v>96</v>
      </c>
      <c r="H112" s="2" t="s">
        <v>58</v>
      </c>
      <c r="I112" s="4">
        <v>1000</v>
      </c>
      <c r="J112" s="4">
        <v>7.34</v>
      </c>
      <c r="K112" s="4">
        <v>7340</v>
      </c>
      <c r="L112" s="2">
        <v>93.2</v>
      </c>
      <c r="M112" s="2" t="s">
        <v>30</v>
      </c>
      <c r="N112" s="2">
        <v>41</v>
      </c>
      <c r="O112" s="2">
        <v>1275</v>
      </c>
      <c r="P112" s="2" t="s">
        <v>68</v>
      </c>
      <c r="Q112" s="2" t="s">
        <v>45</v>
      </c>
    </row>
    <row r="113" spans="1:17" x14ac:dyDescent="0.25">
      <c r="A113" s="2" t="s">
        <v>192</v>
      </c>
      <c r="B113" s="3">
        <v>46167</v>
      </c>
      <c r="C113" s="2" t="s">
        <v>82</v>
      </c>
      <c r="D113" s="2" t="s">
        <v>87</v>
      </c>
      <c r="E113" s="2" t="s">
        <v>55</v>
      </c>
      <c r="F113" s="2" t="s">
        <v>56</v>
      </c>
      <c r="G113" s="2" t="s">
        <v>57</v>
      </c>
      <c r="H113" s="2" t="s">
        <v>52</v>
      </c>
      <c r="I113" s="4">
        <v>500</v>
      </c>
      <c r="J113" s="4">
        <v>23.47</v>
      </c>
      <c r="K113" s="4">
        <v>11735</v>
      </c>
      <c r="L113" s="2">
        <v>91.9</v>
      </c>
      <c r="M113" s="2" t="s">
        <v>37</v>
      </c>
      <c r="N113" s="2">
        <v>29</v>
      </c>
      <c r="O113" s="2">
        <v>402</v>
      </c>
      <c r="P113" s="2" t="s">
        <v>61</v>
      </c>
      <c r="Q113" s="2" t="s">
        <v>45</v>
      </c>
    </row>
    <row r="114" spans="1:17" x14ac:dyDescent="0.25">
      <c r="A114" s="2" t="s">
        <v>193</v>
      </c>
      <c r="B114" s="3">
        <v>46099</v>
      </c>
      <c r="C114" s="2" t="s">
        <v>33</v>
      </c>
      <c r="D114" s="2" t="s">
        <v>70</v>
      </c>
      <c r="E114" s="2" t="s">
        <v>41</v>
      </c>
      <c r="F114" s="2" t="s">
        <v>42</v>
      </c>
      <c r="G114" s="2" t="s">
        <v>43</v>
      </c>
      <c r="H114" s="2" t="s">
        <v>29</v>
      </c>
      <c r="I114" s="4">
        <v>1000</v>
      </c>
      <c r="J114" s="4">
        <v>26.21</v>
      </c>
      <c r="K114" s="4">
        <v>26210</v>
      </c>
      <c r="L114" s="2">
        <v>84.7</v>
      </c>
      <c r="M114" s="2" t="s">
        <v>30</v>
      </c>
      <c r="N114" s="2">
        <v>16</v>
      </c>
      <c r="O114" s="2">
        <v>1354.5</v>
      </c>
      <c r="P114" s="2" t="s">
        <v>25</v>
      </c>
      <c r="Q114" s="2" t="s">
        <v>45</v>
      </c>
    </row>
    <row r="115" spans="1:17" x14ac:dyDescent="0.25">
      <c r="A115" s="2" t="s">
        <v>194</v>
      </c>
      <c r="B115" s="3">
        <v>46191</v>
      </c>
      <c r="C115" s="2" t="s">
        <v>27</v>
      </c>
      <c r="D115" s="2" t="s">
        <v>70</v>
      </c>
      <c r="E115" s="2" t="s">
        <v>88</v>
      </c>
      <c r="F115" s="2" t="s">
        <v>89</v>
      </c>
      <c r="G115" s="2" t="s">
        <v>90</v>
      </c>
      <c r="H115" s="2" t="s">
        <v>78</v>
      </c>
      <c r="I115" s="4">
        <v>2000</v>
      </c>
      <c r="J115" s="4">
        <v>6.89</v>
      </c>
      <c r="K115" s="4">
        <v>13780</v>
      </c>
      <c r="L115" s="2">
        <v>84.6</v>
      </c>
      <c r="M115" s="2" t="s">
        <v>37</v>
      </c>
      <c r="N115" s="2">
        <v>29</v>
      </c>
      <c r="O115" s="2">
        <v>3484.9</v>
      </c>
      <c r="P115" s="2" t="s">
        <v>61</v>
      </c>
      <c r="Q115" s="2" t="s">
        <v>53</v>
      </c>
    </row>
    <row r="116" spans="1:17" x14ac:dyDescent="0.25">
      <c r="A116" s="2" t="s">
        <v>195</v>
      </c>
      <c r="B116" s="3">
        <v>46093</v>
      </c>
      <c r="C116" s="2" t="s">
        <v>27</v>
      </c>
      <c r="D116" s="2" t="s">
        <v>70</v>
      </c>
      <c r="E116" s="2" t="s">
        <v>49</v>
      </c>
      <c r="F116" s="2" t="s">
        <v>50</v>
      </c>
      <c r="G116" s="2" t="s">
        <v>51</v>
      </c>
      <c r="H116" s="2" t="s">
        <v>52</v>
      </c>
      <c r="I116" s="4">
        <v>750</v>
      </c>
      <c r="J116" s="4">
        <v>17.420000000000002</v>
      </c>
      <c r="K116" s="4">
        <v>13065</v>
      </c>
      <c r="L116" s="2">
        <v>89.6</v>
      </c>
      <c r="M116" s="2" t="s">
        <v>24</v>
      </c>
      <c r="N116" s="2">
        <v>10</v>
      </c>
      <c r="O116" s="2">
        <v>1071.0999999999999</v>
      </c>
      <c r="P116" s="2" t="s">
        <v>44</v>
      </c>
      <c r="Q116" s="2" t="s">
        <v>53</v>
      </c>
    </row>
    <row r="117" spans="1:17" x14ac:dyDescent="0.25">
      <c r="A117" s="2" t="s">
        <v>196</v>
      </c>
      <c r="B117" s="3">
        <v>46101</v>
      </c>
      <c r="C117" s="2" t="s">
        <v>27</v>
      </c>
      <c r="D117" s="2" t="s">
        <v>64</v>
      </c>
      <c r="E117" s="2" t="s">
        <v>88</v>
      </c>
      <c r="F117" s="2" t="s">
        <v>89</v>
      </c>
      <c r="G117" s="2" t="s">
        <v>90</v>
      </c>
      <c r="H117" s="2" t="s">
        <v>29</v>
      </c>
      <c r="I117" s="4">
        <v>1000</v>
      </c>
      <c r="J117" s="4">
        <v>22.01</v>
      </c>
      <c r="K117" s="4">
        <v>22010</v>
      </c>
      <c r="L117" s="2">
        <v>78.900000000000006</v>
      </c>
      <c r="M117" s="2" t="s">
        <v>37</v>
      </c>
      <c r="N117" s="2">
        <v>23</v>
      </c>
      <c r="O117" s="2">
        <v>1766.5</v>
      </c>
      <c r="P117" s="2" t="s">
        <v>44</v>
      </c>
      <c r="Q117" s="2" t="s">
        <v>45</v>
      </c>
    </row>
    <row r="118" spans="1:17" x14ac:dyDescent="0.25">
      <c r="A118" s="2" t="s">
        <v>197</v>
      </c>
      <c r="B118" s="3">
        <v>46142</v>
      </c>
      <c r="C118" s="2" t="s">
        <v>84</v>
      </c>
      <c r="D118" s="2" t="s">
        <v>48</v>
      </c>
      <c r="E118" s="2" t="s">
        <v>65</v>
      </c>
      <c r="F118" s="2" t="s">
        <v>66</v>
      </c>
      <c r="G118" s="2" t="s">
        <v>67</v>
      </c>
      <c r="H118" s="2" t="s">
        <v>52</v>
      </c>
      <c r="I118" s="4">
        <v>3000</v>
      </c>
      <c r="J118" s="4">
        <v>25.94</v>
      </c>
      <c r="K118" s="4">
        <v>77820</v>
      </c>
      <c r="L118" s="2">
        <v>82.2</v>
      </c>
      <c r="M118" s="2" t="s">
        <v>24</v>
      </c>
      <c r="N118" s="2">
        <v>36</v>
      </c>
      <c r="O118" s="2">
        <v>3623.5</v>
      </c>
      <c r="P118" s="2" t="s">
        <v>31</v>
      </c>
      <c r="Q118" s="2" t="s">
        <v>62</v>
      </c>
    </row>
    <row r="119" spans="1:17" x14ac:dyDescent="0.25">
      <c r="A119" s="2" t="s">
        <v>198</v>
      </c>
      <c r="B119" s="3">
        <v>46105</v>
      </c>
      <c r="C119" s="2" t="s">
        <v>27</v>
      </c>
      <c r="D119" s="2" t="s">
        <v>64</v>
      </c>
      <c r="E119" s="2" t="s">
        <v>88</v>
      </c>
      <c r="F119" s="2" t="s">
        <v>89</v>
      </c>
      <c r="G119" s="2" t="s">
        <v>90</v>
      </c>
      <c r="H119" s="2" t="s">
        <v>52</v>
      </c>
      <c r="I119" s="4">
        <v>500</v>
      </c>
      <c r="J119" s="4">
        <v>20.29</v>
      </c>
      <c r="K119" s="4">
        <v>10145</v>
      </c>
      <c r="L119" s="2">
        <v>96.8</v>
      </c>
      <c r="M119" s="2" t="s">
        <v>24</v>
      </c>
      <c r="N119" s="2">
        <v>14</v>
      </c>
      <c r="O119" s="2">
        <v>741.3</v>
      </c>
      <c r="P119" s="2" t="s">
        <v>44</v>
      </c>
      <c r="Q119" s="2"/>
    </row>
    <row r="120" spans="1:17" x14ac:dyDescent="0.25">
      <c r="A120" s="2" t="s">
        <v>199</v>
      </c>
      <c r="B120" s="3">
        <v>46065</v>
      </c>
      <c r="C120" s="2" t="s">
        <v>27</v>
      </c>
      <c r="D120" s="2" t="s">
        <v>19</v>
      </c>
      <c r="E120" s="2" t="s">
        <v>41</v>
      </c>
      <c r="F120" s="2" t="s">
        <v>42</v>
      </c>
      <c r="G120" s="2" t="s">
        <v>43</v>
      </c>
      <c r="H120" s="2" t="s">
        <v>78</v>
      </c>
      <c r="I120" s="4">
        <v>1000</v>
      </c>
      <c r="J120" s="4">
        <v>24.37</v>
      </c>
      <c r="K120" s="4">
        <v>24370</v>
      </c>
      <c r="L120" s="2">
        <v>80</v>
      </c>
      <c r="M120" s="2" t="s">
        <v>37</v>
      </c>
      <c r="N120" s="2">
        <v>36</v>
      </c>
      <c r="O120" s="2">
        <v>1673.1</v>
      </c>
      <c r="P120" s="2" t="s">
        <v>25</v>
      </c>
      <c r="Q120" s="2" t="s">
        <v>62</v>
      </c>
    </row>
    <row r="121" spans="1:17" x14ac:dyDescent="0.25">
      <c r="A121" s="2" t="s">
        <v>200</v>
      </c>
      <c r="B121" s="3">
        <v>46225</v>
      </c>
      <c r="C121" s="2" t="s">
        <v>84</v>
      </c>
      <c r="D121" s="2" t="s">
        <v>74</v>
      </c>
      <c r="E121" s="2" t="s">
        <v>104</v>
      </c>
      <c r="F121" s="2" t="s">
        <v>95</v>
      </c>
      <c r="G121" s="2" t="s">
        <v>96</v>
      </c>
      <c r="H121" s="2" t="s">
        <v>23</v>
      </c>
      <c r="I121" s="4">
        <v>2500</v>
      </c>
      <c r="J121" s="4">
        <v>27.88</v>
      </c>
      <c r="K121" s="4">
        <v>69700</v>
      </c>
      <c r="L121" s="2">
        <v>86.1</v>
      </c>
      <c r="M121" s="2" t="s">
        <v>37</v>
      </c>
      <c r="N121" s="2">
        <v>28</v>
      </c>
      <c r="O121" s="2">
        <v>4309.8</v>
      </c>
      <c r="P121" s="2" t="s">
        <v>31</v>
      </c>
      <c r="Q121" s="2" t="s">
        <v>53</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483C4-6770-4C3C-80E1-7767A9A20FC8}">
  <dimension ref="A1:G25"/>
  <sheetViews>
    <sheetView workbookViewId="0">
      <selection activeCell="F10" sqref="F10"/>
    </sheetView>
  </sheetViews>
  <sheetFormatPr defaultRowHeight="15" x14ac:dyDescent="0.25"/>
  <cols>
    <col min="1" max="1" width="23.85546875" customWidth="1"/>
    <col min="2" max="2" width="13.28515625" customWidth="1"/>
    <col min="3" max="3" width="21.85546875" customWidth="1"/>
    <col min="4" max="4" width="28.5703125" customWidth="1"/>
    <col min="5" max="5" width="36.140625" customWidth="1"/>
    <col min="6" max="6" width="49.5703125" customWidth="1"/>
    <col min="7" max="7" width="41.85546875" customWidth="1"/>
  </cols>
  <sheetData>
    <row r="1" spans="1:7" ht="24" x14ac:dyDescent="0.4">
      <c r="A1" s="28" t="s">
        <v>217</v>
      </c>
      <c r="B1" s="28"/>
      <c r="C1" s="28"/>
      <c r="D1" s="28"/>
      <c r="E1" s="28"/>
      <c r="F1" s="28"/>
      <c r="G1" s="28"/>
    </row>
    <row r="2" spans="1:7" ht="30" customHeight="1" x14ac:dyDescent="0.25">
      <c r="A2" s="29" t="s">
        <v>218</v>
      </c>
      <c r="B2" s="29"/>
      <c r="C2" s="29"/>
      <c r="D2" s="29"/>
      <c r="E2" s="29"/>
      <c r="F2" s="29"/>
      <c r="G2" s="29"/>
    </row>
    <row r="3" spans="1:7" x14ac:dyDescent="0.25">
      <c r="A3" s="27"/>
      <c r="B3" s="27"/>
      <c r="C3" s="27"/>
      <c r="D3" s="27"/>
      <c r="E3" s="27"/>
      <c r="F3" s="27"/>
      <c r="G3" s="27"/>
    </row>
    <row r="4" spans="1:7" x14ac:dyDescent="0.25">
      <c r="A4" s="30" t="s">
        <v>219</v>
      </c>
      <c r="B4" s="30" t="s">
        <v>220</v>
      </c>
      <c r="C4" s="30" t="s">
        <v>221</v>
      </c>
      <c r="D4" s="30" t="s">
        <v>222</v>
      </c>
      <c r="E4" s="30" t="s">
        <v>223</v>
      </c>
      <c r="F4" s="30" t="s">
        <v>224</v>
      </c>
      <c r="G4" s="27"/>
    </row>
    <row r="5" spans="1:7" ht="27" x14ac:dyDescent="0.25">
      <c r="A5" s="31" t="s">
        <v>225</v>
      </c>
      <c r="B5" s="31" t="s">
        <v>226</v>
      </c>
      <c r="C5" s="31" t="s">
        <v>11</v>
      </c>
      <c r="D5" s="31">
        <v>2</v>
      </c>
      <c r="E5" s="32">
        <v>1.7000000000000001E-2</v>
      </c>
      <c r="F5" s="33" t="s">
        <v>227</v>
      </c>
      <c r="G5" s="27"/>
    </row>
    <row r="6" spans="1:7" ht="81" x14ac:dyDescent="0.25">
      <c r="A6" s="31" t="s">
        <v>225</v>
      </c>
      <c r="B6" s="31" t="s">
        <v>228</v>
      </c>
      <c r="C6" s="31" t="s">
        <v>16</v>
      </c>
      <c r="D6" s="31">
        <v>32</v>
      </c>
      <c r="E6" s="32">
        <v>0.26700000000000002</v>
      </c>
      <c r="F6" s="33" t="s">
        <v>229</v>
      </c>
      <c r="G6" s="27"/>
    </row>
    <row r="7" spans="1:7" x14ac:dyDescent="0.25">
      <c r="A7" s="31" t="s">
        <v>230</v>
      </c>
      <c r="B7" s="31" t="s">
        <v>226</v>
      </c>
      <c r="C7" s="31" t="s">
        <v>0</v>
      </c>
      <c r="D7" s="31">
        <v>2</v>
      </c>
      <c r="E7" s="31"/>
      <c r="F7" s="33" t="s">
        <v>91</v>
      </c>
      <c r="G7" s="27"/>
    </row>
    <row r="8" spans="1:7" x14ac:dyDescent="0.25">
      <c r="A8" s="31" t="s">
        <v>230</v>
      </c>
      <c r="B8" s="31" t="s">
        <v>226</v>
      </c>
      <c r="C8" s="31" t="s">
        <v>231</v>
      </c>
      <c r="D8" s="31">
        <v>2</v>
      </c>
      <c r="E8" s="31"/>
      <c r="F8" s="33" t="s">
        <v>232</v>
      </c>
      <c r="G8" s="27"/>
    </row>
    <row r="9" spans="1:7" ht="67.5" x14ac:dyDescent="0.25">
      <c r="A9" s="31" t="s">
        <v>233</v>
      </c>
      <c r="B9" s="31" t="s">
        <v>234</v>
      </c>
      <c r="C9" s="31" t="s">
        <v>2</v>
      </c>
      <c r="D9" s="31">
        <v>63</v>
      </c>
      <c r="E9" s="31"/>
      <c r="F9" s="33" t="s">
        <v>235</v>
      </c>
      <c r="G9" s="27"/>
    </row>
    <row r="10" spans="1:7" ht="81" x14ac:dyDescent="0.25">
      <c r="A10" s="31" t="s">
        <v>233</v>
      </c>
      <c r="B10" s="31" t="s">
        <v>234</v>
      </c>
      <c r="C10" s="31" t="s">
        <v>3</v>
      </c>
      <c r="D10" s="31">
        <v>40</v>
      </c>
      <c r="E10" s="31"/>
      <c r="F10" s="33" t="s">
        <v>236</v>
      </c>
      <c r="G10" s="27"/>
    </row>
    <row r="11" spans="1:7" ht="27" x14ac:dyDescent="0.25">
      <c r="A11" s="31" t="s">
        <v>233</v>
      </c>
      <c r="B11" s="31" t="s">
        <v>234</v>
      </c>
      <c r="C11" s="31" t="s">
        <v>12</v>
      </c>
      <c r="D11" s="31">
        <v>76</v>
      </c>
      <c r="E11" s="31"/>
      <c r="F11" s="33" t="s">
        <v>237</v>
      </c>
      <c r="G11" s="27"/>
    </row>
    <row r="12" spans="1:7" x14ac:dyDescent="0.25">
      <c r="A12" s="27"/>
      <c r="B12" s="27"/>
      <c r="C12" s="27"/>
      <c r="D12" s="27"/>
      <c r="E12" s="27"/>
      <c r="F12" s="27"/>
      <c r="G12" s="27"/>
    </row>
    <row r="13" spans="1:7" x14ac:dyDescent="0.25">
      <c r="A13" s="27"/>
      <c r="B13" s="27"/>
      <c r="C13" s="27"/>
      <c r="D13" s="27"/>
      <c r="E13" s="27"/>
      <c r="F13" s="27"/>
      <c r="G13" s="27"/>
    </row>
    <row r="14" spans="1:7" x14ac:dyDescent="0.25">
      <c r="A14" s="30" t="s">
        <v>219</v>
      </c>
      <c r="B14" s="30" t="s">
        <v>220</v>
      </c>
      <c r="C14" s="30" t="s">
        <v>221</v>
      </c>
      <c r="D14" s="30" t="s">
        <v>238</v>
      </c>
      <c r="E14" s="30" t="s">
        <v>239</v>
      </c>
      <c r="F14" s="30" t="s">
        <v>240</v>
      </c>
      <c r="G14" s="30" t="s">
        <v>241</v>
      </c>
    </row>
    <row r="15" spans="1:7" ht="40.5" x14ac:dyDescent="0.25">
      <c r="A15" s="31" t="s">
        <v>225</v>
      </c>
      <c r="B15" s="31" t="s">
        <v>226</v>
      </c>
      <c r="C15" s="31" t="s">
        <v>11</v>
      </c>
      <c r="D15" s="33" t="s">
        <v>227</v>
      </c>
      <c r="E15" s="33"/>
      <c r="F15" s="33" t="s">
        <v>242</v>
      </c>
      <c r="G15" s="33" t="s">
        <v>243</v>
      </c>
    </row>
    <row r="16" spans="1:7" ht="81" x14ac:dyDescent="0.25">
      <c r="A16" s="31" t="s">
        <v>225</v>
      </c>
      <c r="B16" s="31" t="s">
        <v>228</v>
      </c>
      <c r="C16" s="31" t="s">
        <v>16</v>
      </c>
      <c r="D16" s="33" t="s">
        <v>229</v>
      </c>
      <c r="E16" s="33"/>
      <c r="F16" s="33" t="s">
        <v>244</v>
      </c>
      <c r="G16" s="33" t="s">
        <v>245</v>
      </c>
    </row>
    <row r="17" spans="1:7" ht="54" x14ac:dyDescent="0.25">
      <c r="A17" s="31" t="s">
        <v>230</v>
      </c>
      <c r="B17" s="31" t="s">
        <v>226</v>
      </c>
      <c r="C17" s="31" t="s">
        <v>0</v>
      </c>
      <c r="D17" s="33" t="s">
        <v>91</v>
      </c>
      <c r="E17" s="33" t="s">
        <v>91</v>
      </c>
      <c r="F17" s="33" t="s">
        <v>246</v>
      </c>
      <c r="G17" s="33" t="s">
        <v>247</v>
      </c>
    </row>
    <row r="18" spans="1:7" ht="40.5" x14ac:dyDescent="0.25">
      <c r="A18" s="31" t="s">
        <v>230</v>
      </c>
      <c r="B18" s="31" t="s">
        <v>226</v>
      </c>
      <c r="C18" s="31" t="s">
        <v>231</v>
      </c>
      <c r="D18" s="33" t="s">
        <v>248</v>
      </c>
      <c r="E18" s="33"/>
      <c r="F18" s="33" t="s">
        <v>249</v>
      </c>
      <c r="G18" s="33" t="s">
        <v>250</v>
      </c>
    </row>
    <row r="19" spans="1:7" ht="54" x14ac:dyDescent="0.25">
      <c r="A19" s="31" t="s">
        <v>233</v>
      </c>
      <c r="B19" s="31" t="s">
        <v>234</v>
      </c>
      <c r="C19" s="31" t="s">
        <v>2</v>
      </c>
      <c r="D19" s="33"/>
      <c r="E19" s="33" t="s">
        <v>251</v>
      </c>
      <c r="F19" s="33" t="s">
        <v>252</v>
      </c>
      <c r="G19" s="33" t="s">
        <v>253</v>
      </c>
    </row>
    <row r="20" spans="1:7" ht="54" x14ac:dyDescent="0.25">
      <c r="A20" s="31" t="s">
        <v>233</v>
      </c>
      <c r="B20" s="31" t="s">
        <v>234</v>
      </c>
      <c r="C20" s="31" t="s">
        <v>2</v>
      </c>
      <c r="D20" s="33"/>
      <c r="E20" s="33" t="s">
        <v>254</v>
      </c>
      <c r="F20" s="33" t="s">
        <v>252</v>
      </c>
      <c r="G20" s="33" t="s">
        <v>253</v>
      </c>
    </row>
    <row r="21" spans="1:7" ht="54" x14ac:dyDescent="0.25">
      <c r="A21" s="31" t="s">
        <v>233</v>
      </c>
      <c r="B21" s="31" t="s">
        <v>234</v>
      </c>
      <c r="C21" s="31" t="s">
        <v>2</v>
      </c>
      <c r="D21" s="33"/>
      <c r="E21" s="33" t="s">
        <v>255</v>
      </c>
      <c r="F21" s="33" t="s">
        <v>252</v>
      </c>
      <c r="G21" s="33" t="s">
        <v>253</v>
      </c>
    </row>
    <row r="22" spans="1:7" ht="54" x14ac:dyDescent="0.25">
      <c r="A22" s="31" t="s">
        <v>233</v>
      </c>
      <c r="B22" s="31" t="s">
        <v>234</v>
      </c>
      <c r="C22" s="31" t="s">
        <v>3</v>
      </c>
      <c r="D22" s="33"/>
      <c r="E22" s="33" t="s">
        <v>256</v>
      </c>
      <c r="F22" s="33" t="s">
        <v>252</v>
      </c>
      <c r="G22" s="33" t="s">
        <v>253</v>
      </c>
    </row>
    <row r="23" spans="1:7" ht="54" x14ac:dyDescent="0.25">
      <c r="A23" s="31" t="s">
        <v>233</v>
      </c>
      <c r="B23" s="31" t="s">
        <v>234</v>
      </c>
      <c r="C23" s="31" t="s">
        <v>3</v>
      </c>
      <c r="D23" s="33"/>
      <c r="E23" s="33" t="s">
        <v>257</v>
      </c>
      <c r="F23" s="33" t="s">
        <v>252</v>
      </c>
      <c r="G23" s="33" t="s">
        <v>253</v>
      </c>
    </row>
    <row r="24" spans="1:7" ht="54" x14ac:dyDescent="0.25">
      <c r="A24" s="31" t="s">
        <v>233</v>
      </c>
      <c r="B24" s="31" t="s">
        <v>234</v>
      </c>
      <c r="C24" s="31" t="s">
        <v>3</v>
      </c>
      <c r="D24" s="33"/>
      <c r="E24" s="33" t="s">
        <v>258</v>
      </c>
      <c r="F24" s="33" t="s">
        <v>252</v>
      </c>
      <c r="G24" s="33" t="s">
        <v>253</v>
      </c>
    </row>
    <row r="25" spans="1:7" ht="54" x14ac:dyDescent="0.25">
      <c r="A25" s="31" t="s">
        <v>233</v>
      </c>
      <c r="B25" s="31" t="s">
        <v>234</v>
      </c>
      <c r="C25" s="31" t="s">
        <v>12</v>
      </c>
      <c r="D25" s="33"/>
      <c r="E25" s="33" t="s">
        <v>237</v>
      </c>
      <c r="F25" s="33" t="s">
        <v>252</v>
      </c>
      <c r="G25" s="33" t="s">
        <v>253</v>
      </c>
    </row>
  </sheetData>
  <mergeCells count="2">
    <mergeCell ref="A1:G1"/>
    <mergeCell ref="A2:G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8A793-13D1-4475-9587-1C39F3A8AFC2}">
  <dimension ref="A1:R14"/>
  <sheetViews>
    <sheetView workbookViewId="0"/>
  </sheetViews>
  <sheetFormatPr defaultRowHeight="15" x14ac:dyDescent="0.25"/>
  <sheetData>
    <row r="1" spans="1:18" x14ac:dyDescent="0.25">
      <c r="A1" t="s">
        <v>201</v>
      </c>
      <c r="B1" t="s">
        <v>10</v>
      </c>
      <c r="C1" t="s">
        <v>215</v>
      </c>
      <c r="E1" t="s">
        <v>2</v>
      </c>
      <c r="F1" t="s">
        <v>10</v>
      </c>
      <c r="H1" t="s">
        <v>12</v>
      </c>
      <c r="I1" t="s">
        <v>216</v>
      </c>
      <c r="K1" t="s">
        <v>5</v>
      </c>
      <c r="L1" t="s">
        <v>10</v>
      </c>
      <c r="N1" t="s">
        <v>201</v>
      </c>
      <c r="O1" t="s">
        <v>302</v>
      </c>
      <c r="P1" t="s">
        <v>303</v>
      </c>
      <c r="Q1" t="s">
        <v>201</v>
      </c>
      <c r="R1" t="s">
        <v>303</v>
      </c>
    </row>
    <row r="2" spans="1:18" x14ac:dyDescent="0.25">
      <c r="A2" s="6">
        <v>46023</v>
      </c>
      <c r="B2" s="5">
        <v>536705</v>
      </c>
      <c r="C2">
        <v>89.085714285714289</v>
      </c>
      <c r="E2" t="s">
        <v>47</v>
      </c>
      <c r="F2" s="5">
        <v>811027.5</v>
      </c>
      <c r="H2" t="s">
        <v>37</v>
      </c>
      <c r="I2">
        <v>73</v>
      </c>
      <c r="K2" t="s">
        <v>42</v>
      </c>
      <c r="L2" s="5">
        <v>626840</v>
      </c>
      <c r="N2" s="48">
        <v>46048</v>
      </c>
      <c r="O2">
        <v>25.952380952380953</v>
      </c>
      <c r="P2" s="34">
        <v>0.42857142857142855</v>
      </c>
      <c r="Q2" s="48">
        <v>46048</v>
      </c>
      <c r="R2" s="34">
        <v>0.42857142857142855</v>
      </c>
    </row>
    <row r="3" spans="1:18" x14ac:dyDescent="0.25">
      <c r="A3" s="6">
        <v>46054</v>
      </c>
      <c r="B3" s="5">
        <v>345177.5</v>
      </c>
      <c r="C3">
        <v>87.737500000000011</v>
      </c>
      <c r="E3" t="s">
        <v>27</v>
      </c>
      <c r="F3" s="5">
        <v>567277.5</v>
      </c>
      <c r="H3" t="s">
        <v>24</v>
      </c>
      <c r="I3">
        <v>22</v>
      </c>
      <c r="K3" t="s">
        <v>95</v>
      </c>
      <c r="L3" s="5">
        <v>516945</v>
      </c>
      <c r="N3" s="48">
        <v>46079</v>
      </c>
      <c r="O3">
        <v>29.125</v>
      </c>
      <c r="P3" s="34">
        <v>0.25</v>
      </c>
      <c r="Q3" s="48">
        <v>46079</v>
      </c>
      <c r="R3" s="34">
        <v>0.25</v>
      </c>
    </row>
    <row r="4" spans="1:18" x14ac:dyDescent="0.25">
      <c r="A4" s="6">
        <v>46082</v>
      </c>
      <c r="B4" s="5">
        <v>306130</v>
      </c>
      <c r="C4">
        <v>82.253846153846169</v>
      </c>
      <c r="E4" t="s">
        <v>33</v>
      </c>
      <c r="F4" s="5">
        <v>531535</v>
      </c>
      <c r="H4" t="s">
        <v>30</v>
      </c>
      <c r="I4">
        <v>22</v>
      </c>
      <c r="K4" t="s">
        <v>56</v>
      </c>
      <c r="L4" s="5">
        <v>474060</v>
      </c>
      <c r="N4" s="48">
        <v>46107</v>
      </c>
      <c r="O4">
        <v>18.416666666666668</v>
      </c>
      <c r="P4" s="34">
        <v>0.41666666666666669</v>
      </c>
      <c r="Q4" s="48">
        <v>46107</v>
      </c>
      <c r="R4" s="34">
        <v>0.41666666666666669</v>
      </c>
    </row>
    <row r="5" spans="1:18" x14ac:dyDescent="0.25">
      <c r="A5" s="6">
        <v>46113</v>
      </c>
      <c r="B5" s="5">
        <v>227642.5</v>
      </c>
      <c r="C5">
        <v>85.683333333333337</v>
      </c>
      <c r="E5" t="s">
        <v>82</v>
      </c>
      <c r="F5" s="5">
        <v>508972.5</v>
      </c>
      <c r="H5" t="s">
        <v>85</v>
      </c>
      <c r="I5">
        <v>3</v>
      </c>
      <c r="K5" t="s">
        <v>89</v>
      </c>
      <c r="L5" s="5">
        <v>406015</v>
      </c>
      <c r="N5" s="48">
        <v>46138</v>
      </c>
      <c r="O5">
        <v>26</v>
      </c>
      <c r="P5" s="34">
        <v>0.5</v>
      </c>
      <c r="Q5" s="48">
        <v>46138</v>
      </c>
      <c r="R5" s="34">
        <v>0.5</v>
      </c>
    </row>
    <row r="6" spans="1:18" x14ac:dyDescent="0.25">
      <c r="A6" s="6">
        <v>46143</v>
      </c>
      <c r="B6" s="5">
        <v>486600</v>
      </c>
      <c r="C6">
        <v>83.835714285714275</v>
      </c>
      <c r="E6" t="s">
        <v>84</v>
      </c>
      <c r="F6" s="5">
        <v>418350</v>
      </c>
      <c r="K6" t="s">
        <v>66</v>
      </c>
      <c r="L6" s="5">
        <v>377685</v>
      </c>
      <c r="N6" s="48">
        <v>46168</v>
      </c>
      <c r="O6">
        <v>23.714285714285715</v>
      </c>
      <c r="P6" s="34">
        <v>0.35714285714285715</v>
      </c>
      <c r="Q6" s="48">
        <v>46168</v>
      </c>
      <c r="R6" s="34">
        <v>0.35714285714285715</v>
      </c>
    </row>
    <row r="7" spans="1:18" x14ac:dyDescent="0.25">
      <c r="A7" s="6">
        <v>46174</v>
      </c>
      <c r="B7" s="5">
        <v>139867.5</v>
      </c>
      <c r="C7">
        <v>88.45</v>
      </c>
      <c r="E7" t="s">
        <v>18</v>
      </c>
      <c r="F7" s="5">
        <v>300085</v>
      </c>
      <c r="K7" t="s">
        <v>35</v>
      </c>
      <c r="L7" s="5">
        <v>339230</v>
      </c>
      <c r="N7" s="48">
        <v>46199</v>
      </c>
      <c r="O7">
        <v>23.125</v>
      </c>
      <c r="P7" s="34">
        <v>0.375</v>
      </c>
      <c r="Q7" s="48">
        <v>46199</v>
      </c>
      <c r="R7" s="34">
        <v>0.375</v>
      </c>
    </row>
    <row r="8" spans="1:18" x14ac:dyDescent="0.25">
      <c r="A8" s="6">
        <v>46204</v>
      </c>
      <c r="B8" s="5">
        <v>514760</v>
      </c>
      <c r="C8">
        <v>89.330769230769249</v>
      </c>
      <c r="E8" t="s">
        <v>156</v>
      </c>
      <c r="F8" s="5">
        <v>49550</v>
      </c>
      <c r="K8" t="s">
        <v>21</v>
      </c>
      <c r="L8" s="5">
        <v>318512.5</v>
      </c>
      <c r="N8" s="48">
        <v>46229</v>
      </c>
      <c r="O8">
        <v>25.23076923076923</v>
      </c>
      <c r="P8" s="34">
        <v>0.53846153846153844</v>
      </c>
      <c r="Q8" s="48">
        <v>46229</v>
      </c>
      <c r="R8" s="34">
        <v>0.53846153846153844</v>
      </c>
    </row>
    <row r="9" spans="1:18" x14ac:dyDescent="0.25">
      <c r="A9" s="6">
        <v>46235</v>
      </c>
      <c r="B9" s="5">
        <v>405595</v>
      </c>
      <c r="C9">
        <v>90.282352941176484</v>
      </c>
      <c r="E9" t="s">
        <v>124</v>
      </c>
      <c r="F9" s="5">
        <v>36675</v>
      </c>
      <c r="K9" t="s">
        <v>50</v>
      </c>
      <c r="L9" s="5">
        <v>176385</v>
      </c>
      <c r="N9" s="48">
        <v>46260</v>
      </c>
      <c r="O9">
        <v>27.352941176470587</v>
      </c>
      <c r="P9" s="34">
        <v>0.23529411764705882</v>
      </c>
      <c r="Q9" s="48">
        <v>46260</v>
      </c>
      <c r="R9" s="34">
        <v>0.23529411764705882</v>
      </c>
    </row>
    <row r="10" spans="1:18" x14ac:dyDescent="0.25">
      <c r="A10" s="6">
        <v>46266</v>
      </c>
      <c r="B10" s="5">
        <v>273195</v>
      </c>
      <c r="C10">
        <v>90.608333333333334</v>
      </c>
      <c r="E10" t="s">
        <v>76</v>
      </c>
      <c r="F10" s="5">
        <v>12200</v>
      </c>
      <c r="N10" s="48">
        <v>46291</v>
      </c>
      <c r="O10">
        <v>25</v>
      </c>
      <c r="P10" s="34">
        <v>0.33333333333333331</v>
      </c>
      <c r="Q10" s="48">
        <v>46291</v>
      </c>
      <c r="R10" s="34">
        <v>0.33333333333333331</v>
      </c>
    </row>
    <row r="11" spans="1:18" x14ac:dyDescent="0.25">
      <c r="N11" s="48">
        <v>46321</v>
      </c>
      <c r="O11">
        <v>25.864667636285279</v>
      </c>
      <c r="P11" s="34">
        <v>0.34421981613158081</v>
      </c>
      <c r="Q11" s="48">
        <v>46321</v>
      </c>
      <c r="R11" s="34">
        <v>0.34421981613158081</v>
      </c>
    </row>
    <row r="12" spans="1:18" x14ac:dyDescent="0.25">
      <c r="N12" s="48">
        <v>46352</v>
      </c>
      <c r="O12">
        <v>25.933425370148054</v>
      </c>
      <c r="P12" s="34">
        <v>0.33534480458850202</v>
      </c>
      <c r="Q12" s="48">
        <v>46352</v>
      </c>
      <c r="R12" s="34">
        <v>0.33534480458850202</v>
      </c>
    </row>
    <row r="13" spans="1:18" x14ac:dyDescent="0.25">
      <c r="N13" s="48">
        <v>46382</v>
      </c>
      <c r="O13">
        <v>26.002183104010829</v>
      </c>
      <c r="P13" s="34">
        <v>0.32646979304542323</v>
      </c>
      <c r="Q13" s="48">
        <v>46382</v>
      </c>
      <c r="R13" s="34">
        <v>0.32646979304542323</v>
      </c>
    </row>
    <row r="14" spans="1:18" x14ac:dyDescent="0.25">
      <c r="N14" s="48">
        <v>46049</v>
      </c>
      <c r="O14">
        <v>26.070940837873604</v>
      </c>
      <c r="P14" s="34">
        <v>0.31759478150234444</v>
      </c>
      <c r="Q14" s="48">
        <v>46049</v>
      </c>
      <c r="R14" s="34">
        <v>0.31759478150234444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895A6-8F9B-4080-ADDA-FD080813ECF2}">
  <dimension ref="A1:H21"/>
  <sheetViews>
    <sheetView showGridLines="0" workbookViewId="0">
      <pane ySplit="4" topLeftCell="A5" activePane="bottomLeft" state="frozen"/>
      <selection pane="bottomLeft" activeCell="O10" sqref="O10"/>
    </sheetView>
  </sheetViews>
  <sheetFormatPr defaultRowHeight="15" x14ac:dyDescent="0.25"/>
  <cols>
    <col min="1" max="1" width="10.42578125" customWidth="1"/>
    <col min="2" max="2" width="16.140625" customWidth="1"/>
    <col min="3" max="3" width="17.5703125" customWidth="1"/>
    <col min="4" max="4" width="20" customWidth="1"/>
    <col min="5" max="5" width="23.85546875" customWidth="1"/>
    <col min="6" max="6" width="33.28515625" customWidth="1"/>
    <col min="7" max="7" width="28.5703125" customWidth="1"/>
    <col min="8" max="8" width="46.7109375" customWidth="1"/>
  </cols>
  <sheetData>
    <row r="1" spans="1:8" ht="30" customHeight="1" x14ac:dyDescent="0.25">
      <c r="A1" s="36" t="s">
        <v>268</v>
      </c>
      <c r="B1" s="36"/>
      <c r="C1" s="36"/>
      <c r="D1" s="36"/>
      <c r="E1" s="36"/>
      <c r="F1" s="36"/>
      <c r="G1" s="36"/>
      <c r="H1" s="36"/>
    </row>
    <row r="2" spans="1:8" ht="24" customHeight="1" x14ac:dyDescent="0.25">
      <c r="A2" s="37" t="s">
        <v>269</v>
      </c>
      <c r="B2" s="37"/>
      <c r="C2" s="37"/>
      <c r="D2" s="37"/>
      <c r="E2" s="37"/>
      <c r="F2" s="37"/>
      <c r="G2" s="37"/>
      <c r="H2" s="37"/>
    </row>
    <row r="3" spans="1:8" x14ac:dyDescent="0.25">
      <c r="A3" s="26"/>
      <c r="B3" s="26"/>
      <c r="C3" s="26"/>
      <c r="D3" s="26"/>
      <c r="E3" s="26"/>
      <c r="F3" s="26"/>
      <c r="G3" s="26"/>
      <c r="H3" s="26"/>
    </row>
    <row r="4" spans="1:8" ht="32.1" customHeight="1" x14ac:dyDescent="0.25">
      <c r="A4" s="38" t="s">
        <v>259</v>
      </c>
      <c r="B4" s="38" t="s">
        <v>260</v>
      </c>
      <c r="C4" s="38" t="s">
        <v>270</v>
      </c>
      <c r="D4" s="38" t="s">
        <v>271</v>
      </c>
      <c r="E4" s="38" t="s">
        <v>261</v>
      </c>
      <c r="F4" s="38" t="s">
        <v>272</v>
      </c>
      <c r="G4" s="38" t="s">
        <v>273</v>
      </c>
      <c r="H4" s="38" t="s">
        <v>16</v>
      </c>
    </row>
    <row r="5" spans="1:8" ht="48" customHeight="1" x14ac:dyDescent="0.25">
      <c r="A5" s="39">
        <v>2021</v>
      </c>
      <c r="B5" s="40">
        <v>6.5</v>
      </c>
      <c r="C5" s="41" t="s">
        <v>291</v>
      </c>
      <c r="D5" s="42">
        <v>0.5</v>
      </c>
      <c r="E5" s="43" t="s">
        <v>274</v>
      </c>
      <c r="F5" s="43" t="s">
        <v>275</v>
      </c>
      <c r="G5" s="43" t="s">
        <v>276</v>
      </c>
      <c r="H5" s="43" t="s">
        <v>277</v>
      </c>
    </row>
    <row r="6" spans="1:8" ht="48" customHeight="1" x14ac:dyDescent="0.25">
      <c r="A6" s="39">
        <v>2022</v>
      </c>
      <c r="B6" s="40">
        <v>6.7</v>
      </c>
      <c r="C6" s="41">
        <f>IFERROR(B6/B5-1,"N/M")</f>
        <v>3.0769230769230882E-2</v>
      </c>
      <c r="D6" s="42">
        <v>0.75</v>
      </c>
      <c r="E6" s="43" t="s">
        <v>278</v>
      </c>
      <c r="F6" s="43" t="s">
        <v>279</v>
      </c>
      <c r="G6" s="43" t="s">
        <v>280</v>
      </c>
      <c r="H6" s="43" t="s">
        <v>281</v>
      </c>
    </row>
    <row r="7" spans="1:8" ht="48" customHeight="1" x14ac:dyDescent="0.25">
      <c r="A7" s="39">
        <v>2023</v>
      </c>
      <c r="B7" s="40">
        <v>6.4</v>
      </c>
      <c r="C7" s="41">
        <f>IFERROR(B7/B6-1,"N/M")</f>
        <v>-4.4776119402985093E-2</v>
      </c>
      <c r="D7" s="42">
        <v>0.75</v>
      </c>
      <c r="E7" s="43" t="s">
        <v>278</v>
      </c>
      <c r="F7" s="43" t="s">
        <v>279</v>
      </c>
      <c r="G7" s="43" t="s">
        <v>280</v>
      </c>
      <c r="H7" s="43" t="s">
        <v>282</v>
      </c>
    </row>
    <row r="8" spans="1:8" ht="48" customHeight="1" x14ac:dyDescent="0.25">
      <c r="A8" s="39">
        <v>2024</v>
      </c>
      <c r="B8" s="40">
        <v>6.5</v>
      </c>
      <c r="C8" s="41">
        <f>IFERROR(B8/B7-1,"N/M")</f>
        <v>1.5625E-2</v>
      </c>
      <c r="D8" s="42">
        <v>1.1000000000000001</v>
      </c>
      <c r="E8" s="43" t="s">
        <v>283</v>
      </c>
      <c r="F8" s="43" t="s">
        <v>284</v>
      </c>
      <c r="G8" s="43" t="s">
        <v>285</v>
      </c>
      <c r="H8" s="43" t="s">
        <v>286</v>
      </c>
    </row>
    <row r="9" spans="1:8" ht="48" customHeight="1" x14ac:dyDescent="0.25">
      <c r="A9" s="39">
        <v>2025</v>
      </c>
      <c r="B9" s="40"/>
      <c r="C9" s="41" t="s">
        <v>291</v>
      </c>
      <c r="D9" s="42"/>
      <c r="E9" s="43" t="s">
        <v>287</v>
      </c>
      <c r="F9" s="43" t="s">
        <v>288</v>
      </c>
      <c r="G9" s="43" t="s">
        <v>289</v>
      </c>
      <c r="H9" s="43" t="s">
        <v>290</v>
      </c>
    </row>
    <row r="10" spans="1:8" x14ac:dyDescent="0.25">
      <c r="A10" s="26"/>
      <c r="B10" s="26"/>
      <c r="C10" s="26"/>
      <c r="D10" s="26"/>
      <c r="E10" s="26"/>
      <c r="F10" s="26"/>
      <c r="G10" s="26"/>
      <c r="H10" s="26"/>
    </row>
    <row r="11" spans="1:8" x14ac:dyDescent="0.25">
      <c r="A11" s="44" t="s">
        <v>292</v>
      </c>
      <c r="B11" s="44"/>
      <c r="C11" s="44"/>
      <c r="D11" s="44"/>
      <c r="E11" s="44"/>
      <c r="F11" s="44"/>
      <c r="G11" s="44"/>
      <c r="H11" s="44"/>
    </row>
    <row r="12" spans="1:8" ht="33.950000000000003" customHeight="1" x14ac:dyDescent="0.25">
      <c r="A12" s="45" t="s">
        <v>293</v>
      </c>
      <c r="B12" s="45"/>
      <c r="C12" s="45"/>
      <c r="D12" s="45"/>
      <c r="E12" s="45"/>
      <c r="F12" s="45"/>
      <c r="G12" s="45"/>
      <c r="H12" s="45"/>
    </row>
    <row r="13" spans="1:8" ht="33.950000000000003" customHeight="1" x14ac:dyDescent="0.25">
      <c r="A13" s="45"/>
      <c r="B13" s="45"/>
      <c r="C13" s="45"/>
      <c r="D13" s="45"/>
      <c r="E13" s="45"/>
      <c r="F13" s="45"/>
      <c r="G13" s="45"/>
      <c r="H13" s="45"/>
    </row>
    <row r="14" spans="1:8" x14ac:dyDescent="0.25">
      <c r="A14" s="26"/>
      <c r="B14" s="26"/>
      <c r="C14" s="26"/>
      <c r="D14" s="26"/>
      <c r="E14" s="26"/>
      <c r="F14" s="26"/>
      <c r="G14" s="26"/>
      <c r="H14" s="26"/>
    </row>
    <row r="15" spans="1:8" x14ac:dyDescent="0.25">
      <c r="A15" s="46" t="s">
        <v>267</v>
      </c>
      <c r="B15" s="46" t="s">
        <v>262</v>
      </c>
      <c r="C15" s="26"/>
      <c r="D15" s="26"/>
      <c r="E15" s="26"/>
      <c r="F15" s="26"/>
      <c r="G15" s="26"/>
      <c r="H15" s="26"/>
    </row>
    <row r="16" spans="1:8" x14ac:dyDescent="0.25">
      <c r="A16" s="47" t="s">
        <v>294</v>
      </c>
      <c r="B16" s="47" t="s">
        <v>266</v>
      </c>
      <c r="C16" s="26"/>
      <c r="D16" s="26"/>
      <c r="E16" s="26"/>
      <c r="F16" s="26"/>
      <c r="G16" s="26"/>
      <c r="H16" s="26"/>
    </row>
    <row r="17" spans="1:8" x14ac:dyDescent="0.25">
      <c r="A17" s="47" t="s">
        <v>263</v>
      </c>
      <c r="B17" s="47" t="s">
        <v>264</v>
      </c>
      <c r="C17" s="26"/>
      <c r="D17" s="26"/>
      <c r="E17" s="26"/>
      <c r="F17" s="26"/>
      <c r="G17" s="26"/>
      <c r="H17" s="26"/>
    </row>
    <row r="18" spans="1:8" x14ac:dyDescent="0.25">
      <c r="A18" s="47" t="s">
        <v>295</v>
      </c>
      <c r="B18" s="47" t="s">
        <v>296</v>
      </c>
      <c r="C18" s="26"/>
      <c r="D18" s="26"/>
      <c r="E18" s="26"/>
      <c r="F18" s="26"/>
      <c r="G18" s="26"/>
      <c r="H18" s="26"/>
    </row>
    <row r="19" spans="1:8" x14ac:dyDescent="0.25">
      <c r="A19" s="47" t="s">
        <v>297</v>
      </c>
      <c r="B19" s="47" t="s">
        <v>265</v>
      </c>
      <c r="C19" s="26"/>
      <c r="D19" s="26"/>
      <c r="E19" s="26"/>
      <c r="F19" s="26"/>
      <c r="G19" s="26"/>
      <c r="H19" s="26"/>
    </row>
    <row r="20" spans="1:8" x14ac:dyDescent="0.25">
      <c r="A20" s="47" t="s">
        <v>298</v>
      </c>
      <c r="B20" s="47" t="s">
        <v>299</v>
      </c>
      <c r="C20" s="26"/>
      <c r="D20" s="26"/>
      <c r="E20" s="26"/>
      <c r="F20" s="26"/>
      <c r="G20" s="26"/>
      <c r="H20" s="26"/>
    </row>
    <row r="21" spans="1:8" x14ac:dyDescent="0.25">
      <c r="A21" s="47" t="s">
        <v>300</v>
      </c>
      <c r="B21" s="47" t="s">
        <v>301</v>
      </c>
      <c r="C21" s="26"/>
      <c r="D21" s="26"/>
      <c r="E21" s="26"/>
      <c r="F21" s="26"/>
      <c r="G21" s="26"/>
      <c r="H21" s="26"/>
    </row>
  </sheetData>
  <mergeCells count="4">
    <mergeCell ref="A1:H1"/>
    <mergeCell ref="A2:H2"/>
    <mergeCell ref="A11:H11"/>
    <mergeCell ref="A12:H1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4A7E2-0199-4A79-93CA-B9F3B6FD3FE2}">
  <dimension ref="A1:L48"/>
  <sheetViews>
    <sheetView showGridLines="0" topLeftCell="B1" workbookViewId="0">
      <selection activeCell="O10" sqref="O10"/>
    </sheetView>
  </sheetViews>
  <sheetFormatPr defaultRowHeight="18" customHeight="1" x14ac:dyDescent="0.25"/>
  <cols>
    <col min="1" max="12" width="13.7109375" customWidth="1"/>
  </cols>
  <sheetData>
    <row r="1" spans="1:12" ht="33.950000000000003" customHeight="1" x14ac:dyDescent="0.45">
      <c r="A1" s="20" t="s">
        <v>202</v>
      </c>
      <c r="B1" s="20"/>
      <c r="C1" s="20"/>
      <c r="D1" s="20"/>
      <c r="E1" s="20"/>
      <c r="F1" s="20"/>
      <c r="G1" s="20"/>
      <c r="H1" s="20"/>
      <c r="I1" s="20"/>
      <c r="J1" s="20"/>
      <c r="K1" s="20"/>
      <c r="L1" s="20"/>
    </row>
    <row r="2" spans="1:12" ht="21.95" customHeight="1" x14ac:dyDescent="0.25">
      <c r="A2" s="21" t="s">
        <v>203</v>
      </c>
      <c r="B2" s="21"/>
      <c r="C2" s="21"/>
      <c r="D2" s="21"/>
      <c r="E2" s="21"/>
      <c r="F2" s="21"/>
      <c r="G2" s="21"/>
      <c r="H2" s="21"/>
      <c r="I2" s="21"/>
      <c r="J2" s="21"/>
      <c r="K2" s="21"/>
      <c r="L2" s="21"/>
    </row>
    <row r="3" spans="1:12" ht="18" customHeight="1" x14ac:dyDescent="0.25">
      <c r="A3" s="7"/>
      <c r="B3" s="7"/>
      <c r="C3" s="7"/>
      <c r="D3" s="7"/>
      <c r="E3" s="7"/>
      <c r="F3" s="7"/>
      <c r="G3" s="7"/>
      <c r="H3" s="7"/>
      <c r="I3" s="7"/>
      <c r="J3" s="7"/>
      <c r="K3" s="7"/>
      <c r="L3" s="7"/>
    </row>
    <row r="4" spans="1:12" ht="21" customHeight="1" x14ac:dyDescent="0.25">
      <c r="A4" s="14" t="s">
        <v>204</v>
      </c>
      <c r="B4" s="14"/>
      <c r="C4" s="14" t="s">
        <v>205</v>
      </c>
      <c r="D4" s="14"/>
      <c r="E4" s="14" t="s">
        <v>206</v>
      </c>
      <c r="F4" s="14"/>
      <c r="G4" s="14" t="s">
        <v>207</v>
      </c>
      <c r="H4" s="14"/>
      <c r="I4" s="14" t="s">
        <v>208</v>
      </c>
      <c r="J4" s="14"/>
      <c r="K4" s="14" t="s">
        <v>209</v>
      </c>
      <c r="L4" s="14"/>
    </row>
    <row r="5" spans="1:12" ht="21" customHeight="1" x14ac:dyDescent="0.25">
      <c r="A5" s="22">
        <v>3235672.5</v>
      </c>
      <c r="B5" s="16"/>
      <c r="C5" s="23">
        <v>120</v>
      </c>
      <c r="D5" s="16"/>
      <c r="E5" s="24">
        <v>87.689166666666679</v>
      </c>
      <c r="F5" s="16"/>
      <c r="G5" s="25">
        <v>0.60833333333333328</v>
      </c>
      <c r="H5" s="16"/>
      <c r="I5" s="15">
        <v>25.074999999999999</v>
      </c>
      <c r="J5" s="16"/>
      <c r="K5" s="17">
        <v>1.2800136239782018</v>
      </c>
      <c r="L5" s="16"/>
    </row>
    <row r="6" spans="1:12" ht="21" customHeight="1" x14ac:dyDescent="0.25">
      <c r="A6" s="16"/>
      <c r="B6" s="16"/>
      <c r="C6" s="16"/>
      <c r="D6" s="16"/>
      <c r="E6" s="16"/>
      <c r="F6" s="16"/>
      <c r="G6" s="16"/>
      <c r="H6" s="16"/>
      <c r="I6" s="16"/>
      <c r="J6" s="16"/>
      <c r="K6" s="16"/>
      <c r="L6" s="16"/>
    </row>
    <row r="7" spans="1:12" ht="18" customHeight="1" x14ac:dyDescent="0.25">
      <c r="A7" s="7"/>
      <c r="B7" s="7"/>
      <c r="C7" s="7"/>
      <c r="D7" s="7"/>
      <c r="E7" s="7"/>
      <c r="F7" s="7"/>
      <c r="G7" s="7"/>
      <c r="H7" s="7"/>
      <c r="I7" s="7"/>
      <c r="J7" s="7"/>
      <c r="K7" s="7"/>
      <c r="L7" s="7"/>
    </row>
    <row r="8" spans="1:12" ht="33.950000000000003" customHeight="1" x14ac:dyDescent="0.25">
      <c r="A8" s="18" t="s">
        <v>210</v>
      </c>
      <c r="B8" s="18"/>
      <c r="C8" s="18"/>
      <c r="D8" s="18"/>
      <c r="E8" s="18"/>
      <c r="F8" s="18"/>
      <c r="G8" s="18"/>
      <c r="H8" s="18"/>
      <c r="I8" s="18"/>
      <c r="J8" s="18"/>
      <c r="K8" s="18"/>
      <c r="L8" s="18"/>
    </row>
    <row r="9" spans="1:12" ht="18" customHeight="1" x14ac:dyDescent="0.25">
      <c r="A9" s="7"/>
      <c r="B9" s="7"/>
      <c r="C9" s="7"/>
      <c r="D9" s="7"/>
      <c r="E9" s="7"/>
      <c r="F9" s="7"/>
      <c r="G9" s="7"/>
      <c r="H9" s="7"/>
      <c r="I9" s="7"/>
      <c r="J9" s="7"/>
      <c r="K9" s="7"/>
      <c r="L9" s="7"/>
    </row>
    <row r="10" spans="1:12" ht="18" customHeight="1" x14ac:dyDescent="0.25">
      <c r="A10" s="7"/>
      <c r="B10" s="7"/>
      <c r="C10" s="7"/>
      <c r="D10" s="7"/>
      <c r="E10" s="7"/>
      <c r="F10" s="7"/>
      <c r="G10" s="7"/>
      <c r="H10" s="7"/>
      <c r="I10" s="7"/>
      <c r="J10" s="7"/>
      <c r="K10" s="7"/>
      <c r="L10" s="7"/>
    </row>
    <row r="11" spans="1:12" ht="18" customHeight="1" x14ac:dyDescent="0.25">
      <c r="A11" s="7"/>
      <c r="B11" s="7"/>
      <c r="C11" s="7"/>
      <c r="D11" s="7"/>
      <c r="E11" s="7"/>
      <c r="F11" s="7"/>
      <c r="G11" s="7"/>
      <c r="H11" s="7"/>
      <c r="I11" s="7"/>
      <c r="J11" s="7"/>
      <c r="K11" s="7"/>
      <c r="L11" s="7"/>
    </row>
    <row r="12" spans="1:12" ht="18" customHeight="1" x14ac:dyDescent="0.25">
      <c r="A12" s="7"/>
      <c r="B12" s="7"/>
      <c r="C12" s="7"/>
      <c r="D12" s="7"/>
      <c r="E12" s="7"/>
      <c r="F12" s="7"/>
      <c r="G12" s="7"/>
      <c r="H12" s="7"/>
      <c r="I12" s="7"/>
      <c r="J12" s="7"/>
      <c r="K12" s="7"/>
      <c r="L12" s="7"/>
    </row>
    <row r="13" spans="1:12" ht="18" customHeight="1" x14ac:dyDescent="0.25">
      <c r="A13" s="7"/>
      <c r="B13" s="7"/>
      <c r="C13" s="7"/>
      <c r="D13" s="7"/>
      <c r="E13" s="7"/>
      <c r="F13" s="7"/>
      <c r="G13" s="7"/>
      <c r="H13" s="7"/>
      <c r="I13" s="7"/>
      <c r="J13" s="7"/>
      <c r="K13" s="7"/>
      <c r="L13" s="7"/>
    </row>
    <row r="14" spans="1:12" ht="18" customHeight="1" x14ac:dyDescent="0.25">
      <c r="A14" s="7"/>
      <c r="B14" s="7"/>
      <c r="C14" s="7"/>
      <c r="D14" s="7"/>
      <c r="E14" s="7"/>
      <c r="F14" s="7"/>
      <c r="G14" s="7"/>
      <c r="H14" s="7"/>
      <c r="I14" s="7"/>
      <c r="J14" s="7"/>
      <c r="K14" s="7"/>
      <c r="L14" s="7"/>
    </row>
    <row r="15" spans="1:12" ht="18" customHeight="1" x14ac:dyDescent="0.25">
      <c r="A15" s="7"/>
      <c r="B15" s="7"/>
      <c r="C15" s="7"/>
      <c r="D15" s="7"/>
      <c r="E15" s="7"/>
      <c r="F15" s="7"/>
      <c r="G15" s="7"/>
      <c r="H15" s="7"/>
      <c r="I15" s="7"/>
      <c r="J15" s="7"/>
      <c r="K15" s="7"/>
      <c r="L15" s="7"/>
    </row>
    <row r="16" spans="1:12" ht="18" customHeight="1" x14ac:dyDescent="0.25">
      <c r="A16" s="7"/>
      <c r="B16" s="7"/>
      <c r="C16" s="7"/>
      <c r="D16" s="7"/>
      <c r="E16" s="7"/>
      <c r="F16" s="7"/>
      <c r="G16" s="7"/>
      <c r="H16" s="7"/>
      <c r="I16" s="7"/>
      <c r="J16" s="7"/>
      <c r="K16" s="7"/>
      <c r="L16" s="7"/>
    </row>
    <row r="17" spans="1:12" ht="18" customHeight="1" x14ac:dyDescent="0.25">
      <c r="A17" s="7"/>
      <c r="B17" s="7"/>
      <c r="C17" s="7"/>
      <c r="D17" s="7"/>
      <c r="E17" s="7"/>
      <c r="F17" s="7"/>
      <c r="G17" s="7"/>
      <c r="H17" s="7"/>
      <c r="I17" s="7"/>
      <c r="J17" s="7"/>
      <c r="K17" s="7"/>
      <c r="L17" s="7"/>
    </row>
    <row r="18" spans="1:12" ht="18" customHeight="1" x14ac:dyDescent="0.25">
      <c r="A18" s="7"/>
      <c r="B18" s="7"/>
      <c r="C18" s="7"/>
      <c r="D18" s="7"/>
      <c r="E18" s="7"/>
      <c r="F18" s="7"/>
      <c r="G18" s="7"/>
      <c r="H18" s="7"/>
      <c r="I18" s="7"/>
      <c r="J18" s="7"/>
      <c r="K18" s="7"/>
      <c r="L18" s="7"/>
    </row>
    <row r="19" spans="1:12" ht="18" customHeight="1" x14ac:dyDescent="0.25">
      <c r="A19" s="7"/>
      <c r="B19" s="7"/>
      <c r="C19" s="7"/>
      <c r="D19" s="7"/>
      <c r="E19" s="7"/>
      <c r="F19" s="7"/>
      <c r="G19" s="7"/>
      <c r="H19" s="7"/>
      <c r="I19" s="7"/>
      <c r="J19" s="7"/>
      <c r="K19" s="7"/>
      <c r="L19" s="7"/>
    </row>
    <row r="20" spans="1:12" ht="18" customHeight="1" x14ac:dyDescent="0.25">
      <c r="A20" s="7"/>
      <c r="B20" s="7"/>
      <c r="C20" s="7"/>
      <c r="D20" s="7"/>
      <c r="E20" s="7"/>
      <c r="F20" s="7"/>
      <c r="G20" s="7"/>
      <c r="H20" s="7"/>
      <c r="I20" s="7"/>
      <c r="J20" s="7"/>
      <c r="K20" s="7"/>
      <c r="L20" s="7"/>
    </row>
    <row r="21" spans="1:12" ht="18" customHeight="1" x14ac:dyDescent="0.25">
      <c r="A21" s="7"/>
      <c r="B21" s="7"/>
      <c r="C21" s="7"/>
      <c r="D21" s="7"/>
      <c r="E21" s="7"/>
      <c r="F21" s="7"/>
      <c r="G21" s="7"/>
      <c r="H21" s="7"/>
      <c r="I21" s="7"/>
      <c r="J21" s="7"/>
      <c r="K21" s="7"/>
      <c r="L21" s="7"/>
    </row>
    <row r="22" spans="1:12" ht="18" customHeight="1" x14ac:dyDescent="0.25">
      <c r="A22" s="7"/>
      <c r="B22" s="7"/>
      <c r="C22" s="7"/>
      <c r="D22" s="7"/>
      <c r="E22" s="7"/>
      <c r="F22" s="7"/>
      <c r="G22" s="7"/>
      <c r="H22" s="7"/>
      <c r="I22" s="7"/>
      <c r="J22" s="7"/>
      <c r="K22" s="7"/>
      <c r="L22" s="7"/>
    </row>
    <row r="23" spans="1:12" ht="18" customHeight="1" x14ac:dyDescent="0.25">
      <c r="A23" s="7"/>
      <c r="B23" s="7"/>
      <c r="C23" s="7"/>
      <c r="D23" s="7"/>
      <c r="E23" s="7"/>
      <c r="F23" s="7"/>
      <c r="G23" s="7"/>
      <c r="H23" s="7"/>
      <c r="I23" s="7"/>
      <c r="J23" s="7"/>
      <c r="K23" s="7"/>
      <c r="L23" s="7"/>
    </row>
    <row r="24" spans="1:12" ht="18" customHeight="1" x14ac:dyDescent="0.25">
      <c r="A24" s="7"/>
      <c r="B24" s="7"/>
      <c r="C24" s="7"/>
      <c r="D24" s="7"/>
      <c r="E24" s="7"/>
      <c r="F24" s="7"/>
      <c r="G24" s="7"/>
      <c r="H24" s="7"/>
      <c r="I24" s="7"/>
      <c r="J24" s="7"/>
      <c r="K24" s="7"/>
      <c r="L24" s="7"/>
    </row>
    <row r="25" spans="1:12" ht="18" customHeight="1" x14ac:dyDescent="0.25">
      <c r="A25" s="7"/>
      <c r="B25" s="7"/>
      <c r="C25" s="7"/>
      <c r="D25" s="7"/>
      <c r="E25" s="7"/>
      <c r="F25" s="7"/>
      <c r="G25" s="7"/>
      <c r="H25" s="7"/>
      <c r="I25" s="7"/>
      <c r="J25" s="7"/>
      <c r="K25" s="7"/>
      <c r="L25" s="7"/>
    </row>
    <row r="26" spans="1:12" ht="18" customHeight="1" x14ac:dyDescent="0.25">
      <c r="A26" s="7"/>
      <c r="B26" s="7"/>
      <c r="C26" s="7"/>
      <c r="D26" s="7"/>
      <c r="E26" s="7"/>
      <c r="F26" s="7"/>
      <c r="G26" s="7"/>
      <c r="H26" s="7"/>
      <c r="I26" s="7"/>
      <c r="J26" s="7"/>
      <c r="K26" s="7"/>
      <c r="L26" s="7"/>
    </row>
    <row r="27" spans="1:12" ht="18" customHeight="1" x14ac:dyDescent="0.25">
      <c r="A27" s="7"/>
      <c r="B27" s="7"/>
      <c r="C27" s="7"/>
      <c r="D27" s="7"/>
      <c r="E27" s="7"/>
      <c r="F27" s="7"/>
      <c r="G27" s="7"/>
      <c r="H27" s="7"/>
      <c r="I27" s="7"/>
      <c r="J27" s="7"/>
      <c r="K27" s="7"/>
      <c r="L27" s="7"/>
    </row>
    <row r="28" spans="1:12" ht="18" customHeight="1" x14ac:dyDescent="0.25">
      <c r="A28" s="7"/>
      <c r="B28" s="7"/>
      <c r="C28" s="7"/>
      <c r="D28" s="7"/>
      <c r="E28" s="7"/>
      <c r="F28" s="7"/>
      <c r="G28" s="7"/>
      <c r="H28" s="7"/>
      <c r="I28" s="7"/>
      <c r="J28" s="7"/>
      <c r="K28" s="7"/>
      <c r="L28" s="7"/>
    </row>
    <row r="29" spans="1:12" ht="18" customHeight="1" x14ac:dyDescent="0.25">
      <c r="A29" s="7"/>
      <c r="B29" s="7"/>
      <c r="C29" s="7"/>
      <c r="D29" s="7"/>
      <c r="E29" s="7"/>
      <c r="F29" s="7"/>
      <c r="G29" s="7"/>
      <c r="H29" s="7"/>
      <c r="I29" s="7"/>
      <c r="J29" s="7"/>
      <c r="K29" s="7"/>
      <c r="L29" s="7"/>
    </row>
    <row r="30" spans="1:12" ht="18" customHeight="1" x14ac:dyDescent="0.25">
      <c r="A30" s="7"/>
      <c r="B30" s="7"/>
      <c r="C30" s="7"/>
      <c r="D30" s="7"/>
      <c r="E30" s="7"/>
      <c r="F30" s="7"/>
      <c r="G30" s="7"/>
      <c r="H30" s="7"/>
      <c r="I30" s="7"/>
      <c r="J30" s="7"/>
      <c r="K30" s="7"/>
      <c r="L30" s="7"/>
    </row>
    <row r="31" spans="1:12" ht="18" customHeight="1" x14ac:dyDescent="0.25">
      <c r="A31" s="7"/>
      <c r="B31" s="7"/>
      <c r="C31" s="7"/>
      <c r="D31" s="7"/>
      <c r="E31" s="7"/>
      <c r="F31" s="7"/>
      <c r="G31" s="7"/>
      <c r="H31" s="7"/>
      <c r="I31" s="7"/>
      <c r="J31" s="7"/>
      <c r="K31" s="7"/>
      <c r="L31" s="7"/>
    </row>
    <row r="32" spans="1:12" ht="18" customHeight="1" x14ac:dyDescent="0.25">
      <c r="A32" s="7"/>
      <c r="B32" s="7"/>
      <c r="C32" s="7"/>
      <c r="D32" s="7"/>
      <c r="E32" s="7"/>
      <c r="F32" s="7"/>
      <c r="G32" s="7"/>
      <c r="H32" s="7"/>
      <c r="I32" s="7"/>
      <c r="J32" s="7"/>
      <c r="K32" s="7"/>
      <c r="L32" s="7"/>
    </row>
    <row r="33" spans="1:12" ht="18" customHeight="1" x14ac:dyDescent="0.25">
      <c r="A33" s="7"/>
      <c r="B33" s="7"/>
      <c r="C33" s="7"/>
      <c r="D33" s="7"/>
      <c r="E33" s="7"/>
      <c r="F33" s="7"/>
      <c r="G33" s="7"/>
      <c r="H33" s="7"/>
      <c r="I33" s="7"/>
      <c r="J33" s="7"/>
      <c r="K33" s="7"/>
      <c r="L33" s="7"/>
    </row>
    <row r="34" spans="1:12" ht="18" customHeight="1" x14ac:dyDescent="0.25">
      <c r="A34" s="7"/>
      <c r="B34" s="7"/>
      <c r="C34" s="7"/>
      <c r="D34" s="7"/>
      <c r="E34" s="7"/>
      <c r="F34" s="7"/>
      <c r="G34" s="7"/>
      <c r="H34" s="7"/>
      <c r="I34" s="7"/>
      <c r="J34" s="7"/>
      <c r="K34" s="7"/>
      <c r="L34" s="7"/>
    </row>
    <row r="35" spans="1:12" ht="18" customHeight="1" x14ac:dyDescent="0.25">
      <c r="A35" s="7"/>
      <c r="B35" s="7"/>
      <c r="C35" s="7"/>
      <c r="D35" s="7"/>
      <c r="E35" s="7"/>
      <c r="F35" s="7"/>
      <c r="G35" s="7"/>
      <c r="H35" s="7"/>
      <c r="I35" s="7"/>
      <c r="J35" s="7"/>
      <c r="K35" s="7"/>
      <c r="L35" s="7"/>
    </row>
    <row r="36" spans="1:12" ht="18" customHeight="1" x14ac:dyDescent="0.25">
      <c r="A36" s="7"/>
      <c r="B36" s="7"/>
      <c r="C36" s="7"/>
      <c r="D36" s="7"/>
      <c r="E36" s="7"/>
      <c r="F36" s="7"/>
      <c r="G36" s="7"/>
      <c r="H36" s="7"/>
      <c r="I36" s="7"/>
      <c r="J36" s="7"/>
      <c r="K36" s="7"/>
      <c r="L36" s="7"/>
    </row>
    <row r="37" spans="1:12" ht="18" customHeight="1" x14ac:dyDescent="0.25">
      <c r="A37" s="7"/>
      <c r="B37" s="7"/>
      <c r="C37" s="7"/>
      <c r="D37" s="7"/>
      <c r="E37" s="7"/>
      <c r="F37" s="7"/>
      <c r="G37" s="7"/>
      <c r="H37" s="7"/>
      <c r="I37" s="7"/>
      <c r="J37" s="7"/>
      <c r="K37" s="7"/>
      <c r="L37" s="7"/>
    </row>
    <row r="38" spans="1:12" ht="18" customHeight="1" x14ac:dyDescent="0.25">
      <c r="A38" s="7"/>
      <c r="B38" s="7"/>
      <c r="C38" s="7"/>
      <c r="D38" s="7"/>
      <c r="E38" s="7"/>
      <c r="F38" s="7"/>
      <c r="G38" s="7"/>
      <c r="H38" s="7"/>
      <c r="I38" s="7"/>
      <c r="J38" s="7"/>
      <c r="K38" s="7"/>
      <c r="L38" s="7"/>
    </row>
    <row r="39" spans="1:12" ht="18" customHeight="1" x14ac:dyDescent="0.25">
      <c r="A39" s="7"/>
      <c r="B39" s="7"/>
      <c r="C39" s="7"/>
      <c r="D39" s="7"/>
      <c r="E39" s="7"/>
      <c r="F39" s="7"/>
      <c r="G39" s="7"/>
      <c r="H39" s="7"/>
      <c r="I39" s="7"/>
      <c r="J39" s="7"/>
      <c r="K39" s="7"/>
      <c r="L39" s="7"/>
    </row>
    <row r="40" spans="1:12" ht="18" customHeight="1" x14ac:dyDescent="0.25">
      <c r="A40" s="7"/>
      <c r="B40" s="7"/>
      <c r="C40" s="7"/>
      <c r="D40" s="7"/>
      <c r="E40" s="7"/>
      <c r="F40" s="7"/>
      <c r="G40" s="7"/>
      <c r="H40" s="7"/>
      <c r="I40" s="7"/>
      <c r="J40" s="7"/>
      <c r="K40" s="7"/>
      <c r="L40" s="7"/>
    </row>
    <row r="41" spans="1:12" ht="18" customHeight="1" x14ac:dyDescent="0.25">
      <c r="A41" s="7"/>
      <c r="B41" s="7"/>
      <c r="C41" s="7"/>
      <c r="D41" s="7"/>
      <c r="E41" s="7"/>
      <c r="F41" s="7"/>
      <c r="G41" s="7"/>
      <c r="H41" s="7"/>
      <c r="I41" s="7"/>
      <c r="J41" s="7"/>
      <c r="K41" s="7"/>
      <c r="L41" s="7"/>
    </row>
    <row r="42" spans="1:12" ht="24" customHeight="1" x14ac:dyDescent="0.25">
      <c r="A42" s="19" t="s">
        <v>211</v>
      </c>
      <c r="B42" s="19"/>
      <c r="C42" s="19"/>
      <c r="D42" s="19"/>
      <c r="E42" s="19"/>
      <c r="F42" s="19"/>
      <c r="G42" s="19" t="s">
        <v>213</v>
      </c>
      <c r="H42" s="19"/>
      <c r="I42" s="19"/>
      <c r="J42" s="19"/>
      <c r="K42" s="19"/>
      <c r="L42" s="19"/>
    </row>
    <row r="43" spans="1:12" ht="23.1" customHeight="1" x14ac:dyDescent="0.25">
      <c r="A43" s="9" t="s">
        <v>3</v>
      </c>
      <c r="B43" s="9" t="s">
        <v>10</v>
      </c>
      <c r="C43" s="9" t="s">
        <v>212</v>
      </c>
      <c r="D43" s="7"/>
      <c r="E43" s="7"/>
      <c r="F43" s="7"/>
      <c r="G43" s="13" t="s">
        <v>214</v>
      </c>
      <c r="H43" s="13"/>
      <c r="I43" s="13"/>
      <c r="J43" s="13"/>
      <c r="K43" s="13"/>
      <c r="L43" s="13"/>
    </row>
    <row r="44" spans="1:12" ht="23.1" customHeight="1" x14ac:dyDescent="0.25">
      <c r="A44" s="10" t="s">
        <v>64</v>
      </c>
      <c r="B44" s="11">
        <v>512462.5</v>
      </c>
      <c r="C44" s="12">
        <v>0.15837897685875194</v>
      </c>
      <c r="D44" s="7"/>
      <c r="E44" s="7"/>
      <c r="F44" s="7"/>
      <c r="G44" s="13"/>
      <c r="H44" s="13"/>
      <c r="I44" s="13"/>
      <c r="J44" s="13"/>
      <c r="K44" s="13"/>
      <c r="L44" s="13"/>
    </row>
    <row r="45" spans="1:12" ht="23.1" customHeight="1" x14ac:dyDescent="0.25">
      <c r="A45" s="10" t="s">
        <v>19</v>
      </c>
      <c r="B45" s="11">
        <v>502697.5</v>
      </c>
      <c r="C45" s="12">
        <v>0.15536105709091386</v>
      </c>
      <c r="D45" s="7"/>
      <c r="E45" s="7"/>
      <c r="F45" s="7"/>
      <c r="G45" s="13"/>
      <c r="H45" s="13"/>
      <c r="I45" s="13"/>
      <c r="J45" s="13"/>
      <c r="K45" s="13"/>
      <c r="L45" s="13"/>
    </row>
    <row r="46" spans="1:12" ht="23.1" customHeight="1" x14ac:dyDescent="0.25">
      <c r="A46" s="10" t="s">
        <v>70</v>
      </c>
      <c r="B46" s="11">
        <v>447505</v>
      </c>
      <c r="C46" s="12">
        <v>0.13830355204366326</v>
      </c>
      <c r="D46" s="7"/>
      <c r="E46" s="7"/>
      <c r="F46" s="7"/>
      <c r="G46" s="13"/>
      <c r="H46" s="13"/>
      <c r="I46" s="13"/>
      <c r="J46" s="13"/>
      <c r="K46" s="13"/>
      <c r="L46" s="13"/>
    </row>
    <row r="47" spans="1:12" ht="18" customHeight="1" x14ac:dyDescent="0.25">
      <c r="A47" s="10" t="s">
        <v>48</v>
      </c>
      <c r="B47" s="11">
        <v>422007.5</v>
      </c>
      <c r="C47" s="12">
        <v>0.13042342820541944</v>
      </c>
      <c r="D47" s="7"/>
      <c r="E47" s="7"/>
      <c r="F47" s="7"/>
      <c r="G47" s="7"/>
      <c r="H47" s="7"/>
      <c r="I47" s="7"/>
      <c r="J47" s="7"/>
      <c r="K47" s="7"/>
      <c r="L47" s="7"/>
    </row>
    <row r="48" spans="1:12" ht="18" customHeight="1" x14ac:dyDescent="0.25">
      <c r="A48" s="10" t="s">
        <v>40</v>
      </c>
      <c r="B48" s="11">
        <v>400877.5</v>
      </c>
      <c r="C48" s="12">
        <v>0.12389310104777292</v>
      </c>
      <c r="D48" s="7"/>
      <c r="E48" s="7"/>
      <c r="F48" s="7"/>
      <c r="G48" s="7"/>
      <c r="H48" s="7"/>
      <c r="I48" s="7"/>
      <c r="J48" s="7"/>
      <c r="K48" s="7"/>
      <c r="L48" s="7"/>
    </row>
  </sheetData>
  <mergeCells count="18">
    <mergeCell ref="A1:L1"/>
    <mergeCell ref="A2:L2"/>
    <mergeCell ref="A4:B4"/>
    <mergeCell ref="A5:B6"/>
    <mergeCell ref="C4:D4"/>
    <mergeCell ref="C5:D6"/>
    <mergeCell ref="E4:F4"/>
    <mergeCell ref="E5:F6"/>
    <mergeCell ref="G4:H4"/>
    <mergeCell ref="G5:H6"/>
    <mergeCell ref="G43:L46"/>
    <mergeCell ref="I4:J4"/>
    <mergeCell ref="I5:J6"/>
    <mergeCell ref="K4:L4"/>
    <mergeCell ref="K5:L6"/>
    <mergeCell ref="A8:L8"/>
    <mergeCell ref="A42:F42"/>
    <mergeCell ref="G42:L4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A9C0D-F02D-4BFE-8851-2CB1CE816EB0}">
  <dimension ref="A1:L40"/>
  <sheetViews>
    <sheetView workbookViewId="0">
      <selection sqref="A1:L1"/>
    </sheetView>
  </sheetViews>
  <sheetFormatPr defaultRowHeight="15" x14ac:dyDescent="0.25"/>
  <cols>
    <col min="1" max="1" width="14.85546875" bestFit="1" customWidth="1"/>
    <col min="2" max="2" width="13.5703125" bestFit="1" customWidth="1"/>
    <col min="3" max="4" width="3.42578125" customWidth="1"/>
    <col min="5" max="12" width="13.7109375" customWidth="1"/>
  </cols>
  <sheetData>
    <row r="1" spans="1:12" ht="33.950000000000003" customHeight="1" x14ac:dyDescent="0.25">
      <c r="A1" s="51" t="s">
        <v>307</v>
      </c>
      <c r="B1" s="51"/>
      <c r="C1" s="51"/>
      <c r="D1" s="51"/>
      <c r="E1" s="51"/>
      <c r="F1" s="51"/>
      <c r="G1" s="51"/>
      <c r="H1" s="51"/>
      <c r="I1" s="51"/>
      <c r="J1" s="51"/>
      <c r="K1" s="51"/>
      <c r="L1" s="51"/>
    </row>
    <row r="2" spans="1:12" ht="24" customHeight="1" x14ac:dyDescent="0.25">
      <c r="A2" s="52" t="s">
        <v>308</v>
      </c>
      <c r="B2" s="52"/>
      <c r="C2" s="52"/>
      <c r="D2" s="52"/>
      <c r="E2" s="52"/>
      <c r="F2" s="52"/>
      <c r="G2" s="52"/>
      <c r="H2" s="52"/>
      <c r="I2" s="52"/>
      <c r="J2" s="52"/>
      <c r="K2" s="52"/>
      <c r="L2" s="52"/>
    </row>
    <row r="3" spans="1:12" x14ac:dyDescent="0.25">
      <c r="A3" s="49"/>
      <c r="B3" s="49"/>
      <c r="C3" s="49"/>
      <c r="D3" s="49"/>
      <c r="E3" s="49"/>
      <c r="F3" s="49"/>
      <c r="G3" s="49"/>
      <c r="H3" s="49"/>
      <c r="I3" s="49"/>
      <c r="J3" s="49"/>
      <c r="K3" s="49"/>
      <c r="L3" s="49"/>
    </row>
    <row r="4" spans="1:12" x14ac:dyDescent="0.25">
      <c r="A4" s="49"/>
      <c r="B4" s="49"/>
      <c r="C4" s="49"/>
      <c r="D4" s="49"/>
      <c r="E4" s="49"/>
      <c r="F4" s="49"/>
      <c r="G4" s="49"/>
      <c r="H4" s="49"/>
      <c r="I4" s="49"/>
      <c r="J4" s="49"/>
      <c r="K4" s="49"/>
      <c r="L4" s="49"/>
    </row>
    <row r="5" spans="1:12" x14ac:dyDescent="0.25">
      <c r="A5" s="49"/>
      <c r="B5" s="49"/>
      <c r="C5" s="49"/>
      <c r="D5" s="49"/>
      <c r="E5" s="49"/>
      <c r="F5" s="49"/>
      <c r="G5" s="49"/>
      <c r="H5" s="49"/>
      <c r="I5" s="49"/>
      <c r="J5" s="49"/>
      <c r="K5" s="49"/>
      <c r="L5" s="49"/>
    </row>
    <row r="6" spans="1:12" x14ac:dyDescent="0.25">
      <c r="A6" s="49"/>
      <c r="B6" s="49"/>
      <c r="C6" s="49"/>
      <c r="D6" s="49"/>
      <c r="E6" s="49"/>
      <c r="F6" s="49"/>
      <c r="G6" s="49"/>
      <c r="H6" s="49"/>
      <c r="I6" s="49"/>
      <c r="J6" s="49"/>
      <c r="K6" s="49"/>
      <c r="L6" s="49"/>
    </row>
    <row r="7" spans="1:12" x14ac:dyDescent="0.25">
      <c r="A7" s="49"/>
      <c r="B7" s="49"/>
      <c r="C7" s="49"/>
      <c r="D7" s="49"/>
      <c r="E7" s="49"/>
      <c r="F7" s="49"/>
      <c r="G7" s="49"/>
      <c r="H7" s="49"/>
      <c r="I7" s="49"/>
      <c r="J7" s="49"/>
      <c r="K7" s="49"/>
      <c r="L7" s="49"/>
    </row>
    <row r="8" spans="1:12" ht="21.95" customHeight="1" x14ac:dyDescent="0.25">
      <c r="C8" s="49"/>
      <c r="D8" s="49"/>
      <c r="E8" s="49"/>
      <c r="F8" s="49"/>
      <c r="G8" s="49"/>
      <c r="H8" s="49"/>
      <c r="I8" s="49"/>
      <c r="J8" s="49"/>
      <c r="K8" s="49"/>
      <c r="L8" s="49"/>
    </row>
    <row r="9" spans="1:12" ht="21.95" customHeight="1" x14ac:dyDescent="0.25">
      <c r="A9" s="35" t="s">
        <v>309</v>
      </c>
      <c r="B9" s="35"/>
      <c r="C9" s="49"/>
      <c r="D9" s="49"/>
      <c r="E9" s="49"/>
      <c r="F9" s="49"/>
      <c r="G9" s="49"/>
      <c r="H9" s="49"/>
      <c r="I9" s="49"/>
      <c r="J9" s="49"/>
      <c r="K9" s="49"/>
      <c r="L9" s="49"/>
    </row>
    <row r="10" spans="1:12" x14ac:dyDescent="0.25">
      <c r="A10" s="49" t="s">
        <v>2</v>
      </c>
      <c r="B10" s="49" t="s">
        <v>10</v>
      </c>
      <c r="C10" s="49"/>
      <c r="D10" s="49"/>
      <c r="E10" s="49"/>
      <c r="F10" s="49"/>
      <c r="G10" s="49"/>
      <c r="H10" s="49"/>
      <c r="I10" s="49"/>
      <c r="J10" s="49"/>
      <c r="K10" s="49"/>
      <c r="L10" s="49"/>
    </row>
    <row r="11" spans="1:12" x14ac:dyDescent="0.25">
      <c r="A11" s="49" t="s">
        <v>18</v>
      </c>
      <c r="B11" s="50">
        <v>312285</v>
      </c>
      <c r="C11" s="49"/>
      <c r="D11" s="49"/>
      <c r="E11" s="49"/>
      <c r="F11" s="49"/>
      <c r="G11" s="49"/>
      <c r="H11" s="49"/>
      <c r="I11" s="49"/>
      <c r="J11" s="49"/>
      <c r="K11" s="49"/>
      <c r="L11" s="49"/>
    </row>
    <row r="12" spans="1:12" x14ac:dyDescent="0.25">
      <c r="A12" s="49" t="s">
        <v>27</v>
      </c>
      <c r="B12" s="50">
        <v>616827.5</v>
      </c>
      <c r="C12" s="49"/>
      <c r="D12" s="49"/>
      <c r="E12" s="49"/>
      <c r="F12" s="49"/>
      <c r="G12" s="49"/>
      <c r="H12" s="49"/>
      <c r="I12" s="49"/>
      <c r="J12" s="49"/>
      <c r="K12" s="49"/>
      <c r="L12" s="49"/>
    </row>
    <row r="13" spans="1:12" x14ac:dyDescent="0.25">
      <c r="A13" s="49" t="s">
        <v>82</v>
      </c>
      <c r="B13" s="50">
        <v>545647.5</v>
      </c>
      <c r="C13" s="49"/>
      <c r="D13" s="49"/>
      <c r="E13" s="49"/>
      <c r="F13" s="49"/>
      <c r="G13" s="49"/>
      <c r="H13" s="49"/>
      <c r="I13" s="49"/>
      <c r="J13" s="49"/>
      <c r="K13" s="49"/>
      <c r="L13" s="49"/>
    </row>
    <row r="14" spans="1:12" x14ac:dyDescent="0.25">
      <c r="A14" s="49" t="s">
        <v>33</v>
      </c>
      <c r="B14" s="50">
        <v>531535</v>
      </c>
      <c r="C14" s="49"/>
      <c r="D14" s="49"/>
      <c r="E14" s="49"/>
      <c r="F14" s="49"/>
      <c r="G14" s="49"/>
      <c r="H14" s="49"/>
      <c r="I14" s="49"/>
      <c r="J14" s="49"/>
      <c r="K14" s="49"/>
      <c r="L14" s="49"/>
    </row>
    <row r="15" spans="1:12" x14ac:dyDescent="0.25">
      <c r="A15" s="49" t="s">
        <v>84</v>
      </c>
      <c r="B15" s="50">
        <v>418350</v>
      </c>
      <c r="C15" s="49"/>
      <c r="D15" s="49"/>
      <c r="E15" s="49"/>
      <c r="F15" s="49"/>
      <c r="G15" s="49"/>
      <c r="H15" s="49"/>
      <c r="I15" s="49"/>
      <c r="J15" s="49"/>
      <c r="K15" s="49"/>
      <c r="L15" s="49"/>
    </row>
    <row r="16" spans="1:12" x14ac:dyDescent="0.25">
      <c r="A16" s="49" t="s">
        <v>47</v>
      </c>
      <c r="B16" s="50">
        <v>811027.5</v>
      </c>
      <c r="C16" s="49"/>
      <c r="D16" s="49"/>
      <c r="E16" s="49"/>
      <c r="F16" s="49"/>
      <c r="G16" s="49"/>
      <c r="H16" s="49"/>
      <c r="I16" s="49"/>
      <c r="J16" s="49"/>
      <c r="K16" s="49"/>
      <c r="L16" s="49"/>
    </row>
    <row r="17" spans="1:12" x14ac:dyDescent="0.25">
      <c r="A17" s="49"/>
      <c r="B17" s="49"/>
      <c r="C17" s="49"/>
      <c r="D17" s="49"/>
      <c r="E17" s="49"/>
      <c r="F17" s="49"/>
      <c r="G17" s="49"/>
      <c r="H17" s="49"/>
      <c r="I17" s="49"/>
      <c r="J17" s="49"/>
      <c r="K17" s="49"/>
      <c r="L17" s="49"/>
    </row>
    <row r="18" spans="1:12" x14ac:dyDescent="0.25">
      <c r="A18" s="49"/>
      <c r="B18" s="49"/>
      <c r="C18" s="49"/>
      <c r="D18" s="49"/>
      <c r="E18" s="49"/>
      <c r="F18" s="49"/>
      <c r="G18" s="49"/>
      <c r="H18" s="49"/>
      <c r="I18" s="49"/>
      <c r="J18" s="49"/>
      <c r="K18" s="49"/>
      <c r="L18" s="49"/>
    </row>
    <row r="19" spans="1:12" x14ac:dyDescent="0.25">
      <c r="A19" s="49"/>
      <c r="B19" s="49"/>
      <c r="C19" s="49"/>
      <c r="D19" s="49"/>
      <c r="E19" s="49"/>
      <c r="F19" s="49"/>
      <c r="G19" s="49"/>
      <c r="H19" s="49"/>
      <c r="I19" s="49"/>
      <c r="J19" s="49"/>
      <c r="K19" s="49"/>
      <c r="L19" s="49"/>
    </row>
    <row r="20" spans="1:12" x14ac:dyDescent="0.25">
      <c r="A20" s="49"/>
      <c r="B20" s="49"/>
      <c r="C20" s="49"/>
      <c r="D20" s="49"/>
      <c r="E20" s="49"/>
      <c r="F20" s="49"/>
      <c r="G20" s="49"/>
      <c r="H20" s="49"/>
      <c r="I20" s="49"/>
      <c r="J20" s="49"/>
      <c r="K20" s="49"/>
      <c r="L20" s="49"/>
    </row>
    <row r="21" spans="1:12" x14ac:dyDescent="0.25">
      <c r="A21" s="49"/>
      <c r="B21" s="49"/>
      <c r="C21" s="49"/>
      <c r="D21" s="49"/>
      <c r="E21" s="49"/>
      <c r="F21" s="49"/>
      <c r="G21" s="49"/>
      <c r="H21" s="49"/>
      <c r="I21" s="49"/>
      <c r="J21" s="49"/>
      <c r="K21" s="49"/>
      <c r="L21" s="49"/>
    </row>
    <row r="22" spans="1:12" x14ac:dyDescent="0.25">
      <c r="A22" s="49"/>
      <c r="B22" s="49"/>
      <c r="C22" s="49"/>
      <c r="D22" s="49"/>
      <c r="E22" s="49"/>
      <c r="F22" s="49"/>
      <c r="G22" s="49"/>
      <c r="H22" s="49"/>
      <c r="I22" s="49"/>
      <c r="J22" s="49"/>
      <c r="K22" s="49"/>
      <c r="L22" s="49"/>
    </row>
    <row r="23" spans="1:12" x14ac:dyDescent="0.25">
      <c r="A23" s="49"/>
      <c r="B23" s="49"/>
      <c r="C23" s="49"/>
      <c r="D23" s="49"/>
      <c r="E23" s="49"/>
      <c r="F23" s="49"/>
      <c r="G23" s="49"/>
      <c r="H23" s="49"/>
      <c r="I23" s="49"/>
      <c r="J23" s="49"/>
      <c r="K23" s="49"/>
      <c r="L23" s="49"/>
    </row>
    <row r="24" spans="1:12" x14ac:dyDescent="0.25">
      <c r="A24" s="49"/>
      <c r="B24" s="49"/>
      <c r="C24" s="49"/>
      <c r="D24" s="49"/>
      <c r="E24" s="49"/>
      <c r="F24" s="49"/>
      <c r="G24" s="49"/>
      <c r="H24" s="49"/>
      <c r="I24" s="49"/>
      <c r="J24" s="49"/>
      <c r="K24" s="49"/>
      <c r="L24" s="49"/>
    </row>
    <row r="25" spans="1:12" x14ac:dyDescent="0.25">
      <c r="A25" s="49"/>
      <c r="B25" s="49"/>
      <c r="C25" s="49"/>
      <c r="D25" s="49"/>
      <c r="E25" s="49"/>
      <c r="F25" s="49"/>
      <c r="G25" s="49"/>
      <c r="H25" s="49"/>
      <c r="I25" s="49"/>
      <c r="J25" s="49"/>
      <c r="K25" s="49"/>
      <c r="L25" s="49"/>
    </row>
    <row r="26" spans="1:12" x14ac:dyDescent="0.25">
      <c r="A26" s="49"/>
      <c r="B26" s="49"/>
      <c r="C26" s="49"/>
      <c r="D26" s="49"/>
      <c r="E26" s="49"/>
      <c r="F26" s="49"/>
      <c r="G26" s="49"/>
      <c r="H26" s="49"/>
      <c r="I26" s="49"/>
      <c r="J26" s="49"/>
      <c r="K26" s="49"/>
      <c r="L26" s="49"/>
    </row>
    <row r="27" spans="1:12" x14ac:dyDescent="0.25">
      <c r="A27" s="49"/>
      <c r="B27" s="49"/>
      <c r="C27" s="49"/>
      <c r="D27" s="49"/>
      <c r="E27" s="49"/>
      <c r="F27" s="49"/>
      <c r="G27" s="49"/>
      <c r="H27" s="49"/>
      <c r="I27" s="49"/>
      <c r="J27" s="49"/>
      <c r="K27" s="49"/>
      <c r="L27" s="49"/>
    </row>
    <row r="28" spans="1:12" x14ac:dyDescent="0.25">
      <c r="A28" s="49"/>
      <c r="B28" s="49"/>
      <c r="C28" s="49"/>
      <c r="D28" s="49"/>
      <c r="E28" s="49"/>
      <c r="F28" s="49"/>
      <c r="G28" s="49"/>
      <c r="H28" s="49"/>
      <c r="I28" s="49"/>
      <c r="J28" s="49"/>
      <c r="K28" s="49"/>
      <c r="L28" s="49"/>
    </row>
    <row r="29" spans="1:12" x14ac:dyDescent="0.25">
      <c r="A29" s="49"/>
      <c r="B29" s="49"/>
      <c r="C29" s="49"/>
      <c r="D29" s="49"/>
      <c r="E29" s="49"/>
      <c r="F29" s="49"/>
      <c r="G29" s="49"/>
      <c r="H29" s="49"/>
      <c r="I29" s="49"/>
      <c r="J29" s="49"/>
      <c r="K29" s="49"/>
      <c r="L29" s="49"/>
    </row>
    <row r="30" spans="1:12" x14ac:dyDescent="0.25">
      <c r="A30" s="49"/>
      <c r="B30" s="49"/>
      <c r="C30" s="49"/>
      <c r="D30" s="49"/>
      <c r="E30" s="49"/>
      <c r="F30" s="49"/>
      <c r="G30" s="49"/>
      <c r="H30" s="49"/>
      <c r="I30" s="49"/>
      <c r="J30" s="49"/>
      <c r="K30" s="49"/>
      <c r="L30" s="49"/>
    </row>
    <row r="31" spans="1:12" x14ac:dyDescent="0.25">
      <c r="A31" s="49"/>
      <c r="B31" s="49"/>
      <c r="C31" s="49"/>
      <c r="D31" s="49"/>
      <c r="E31" s="49"/>
      <c r="F31" s="49"/>
      <c r="G31" s="49"/>
      <c r="H31" s="49"/>
      <c r="I31" s="49"/>
      <c r="J31" s="49"/>
      <c r="K31" s="49"/>
      <c r="L31" s="49"/>
    </row>
    <row r="32" spans="1:12" x14ac:dyDescent="0.25">
      <c r="A32" s="49"/>
      <c r="B32" s="49"/>
      <c r="C32" s="49"/>
      <c r="D32" s="49"/>
      <c r="E32" s="49"/>
      <c r="F32" s="49"/>
      <c r="G32" s="49"/>
      <c r="H32" s="49"/>
      <c r="I32" s="49"/>
      <c r="J32" s="49"/>
      <c r="K32" s="49"/>
      <c r="L32" s="49"/>
    </row>
    <row r="33" spans="1:12" x14ac:dyDescent="0.25">
      <c r="A33" s="49"/>
      <c r="B33" s="49"/>
      <c r="C33" s="49"/>
      <c r="D33" s="49"/>
      <c r="E33" s="49"/>
      <c r="F33" s="49"/>
      <c r="G33" s="49"/>
      <c r="H33" s="49"/>
      <c r="I33" s="49"/>
      <c r="J33" s="49"/>
      <c r="K33" s="49"/>
      <c r="L33" s="49"/>
    </row>
    <row r="34" spans="1:12" x14ac:dyDescent="0.25">
      <c r="A34" s="49"/>
      <c r="B34" s="49"/>
      <c r="C34" s="49"/>
      <c r="D34" s="49"/>
      <c r="E34" s="49"/>
      <c r="F34" s="49"/>
      <c r="G34" s="49"/>
      <c r="H34" s="49"/>
      <c r="I34" s="49"/>
      <c r="J34" s="49"/>
      <c r="K34" s="49"/>
      <c r="L34" s="49"/>
    </row>
    <row r="35" spans="1:12" x14ac:dyDescent="0.25">
      <c r="A35" s="49"/>
      <c r="B35" s="49"/>
      <c r="C35" s="49"/>
      <c r="D35" s="49"/>
      <c r="E35" s="49"/>
      <c r="F35" s="49"/>
      <c r="G35" s="49"/>
      <c r="H35" s="49"/>
      <c r="I35" s="49"/>
      <c r="J35" s="49"/>
      <c r="K35" s="49"/>
      <c r="L35" s="49"/>
    </row>
    <row r="36" spans="1:12" x14ac:dyDescent="0.25">
      <c r="A36" s="49"/>
      <c r="B36" s="49"/>
      <c r="C36" s="49"/>
      <c r="D36" s="49"/>
      <c r="E36" s="49"/>
      <c r="F36" s="49"/>
      <c r="G36" s="49"/>
      <c r="H36" s="49"/>
      <c r="I36" s="49"/>
      <c r="J36" s="49"/>
      <c r="K36" s="49"/>
      <c r="L36" s="49"/>
    </row>
    <row r="37" spans="1:12" x14ac:dyDescent="0.25">
      <c r="A37" s="49"/>
      <c r="B37" s="49"/>
      <c r="C37" s="49"/>
      <c r="D37" s="49"/>
      <c r="E37" s="49"/>
      <c r="F37" s="49"/>
      <c r="G37" s="49"/>
      <c r="H37" s="49"/>
      <c r="I37" s="49"/>
      <c r="J37" s="49"/>
      <c r="K37" s="49"/>
      <c r="L37" s="49"/>
    </row>
    <row r="38" spans="1:12" x14ac:dyDescent="0.25">
      <c r="A38" s="49"/>
      <c r="B38" s="49"/>
      <c r="C38" s="49"/>
      <c r="D38" s="49"/>
      <c r="E38" s="49"/>
      <c r="F38" s="49"/>
      <c r="G38" s="49"/>
      <c r="H38" s="49"/>
      <c r="I38" s="49"/>
      <c r="J38" s="49"/>
      <c r="K38" s="49"/>
      <c r="L38" s="49"/>
    </row>
    <row r="39" spans="1:12" x14ac:dyDescent="0.25">
      <c r="A39" s="49"/>
      <c r="B39" s="49"/>
      <c r="C39" s="49"/>
      <c r="D39" s="49"/>
      <c r="E39" s="49"/>
      <c r="F39" s="49"/>
      <c r="G39" s="49"/>
      <c r="H39" s="49"/>
      <c r="I39" s="49"/>
      <c r="J39" s="49"/>
      <c r="K39" s="49"/>
      <c r="L39" s="49"/>
    </row>
    <row r="40" spans="1:12" x14ac:dyDescent="0.25">
      <c r="A40" s="49"/>
      <c r="B40" s="49"/>
      <c r="C40" s="49"/>
      <c r="D40" s="49"/>
      <c r="E40" s="49"/>
      <c r="F40" s="49"/>
      <c r="G40" s="49"/>
      <c r="H40" s="49"/>
      <c r="I40" s="49"/>
      <c r="J40" s="49"/>
      <c r="K40" s="49"/>
      <c r="L40" s="49"/>
    </row>
  </sheetData>
  <mergeCells count="3">
    <mergeCell ref="A1:L1"/>
    <mergeCell ref="A2:L2"/>
    <mergeCell ref="A9:B9"/>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F2A39-6AAF-42FE-BED0-67D8C6EA9F50}">
  <dimension ref="A1:L35"/>
  <sheetViews>
    <sheetView showGridLines="0" workbookViewId="0">
      <selection activeCell="C33" sqref="C33"/>
    </sheetView>
  </sheetViews>
  <sheetFormatPr defaultRowHeight="15" x14ac:dyDescent="0.25"/>
  <cols>
    <col min="1" max="1" width="16.140625" customWidth="1"/>
    <col min="2" max="2" width="18.140625" customWidth="1"/>
    <col min="3" max="3" width="29.5703125" customWidth="1"/>
    <col min="4" max="4" width="15.28515625" customWidth="1"/>
    <col min="6" max="6" width="0.42578125" customWidth="1"/>
    <col min="7" max="12" width="13.7109375" customWidth="1"/>
  </cols>
  <sheetData>
    <row r="1" spans="1:12" ht="33.950000000000003" customHeight="1" x14ac:dyDescent="0.45">
      <c r="A1" s="20" t="s">
        <v>310</v>
      </c>
      <c r="B1" s="54"/>
      <c r="C1" s="54"/>
      <c r="D1" s="54"/>
      <c r="E1" s="54"/>
      <c r="F1" s="54"/>
      <c r="G1" s="54"/>
      <c r="H1" s="54"/>
      <c r="I1" s="54"/>
      <c r="J1" s="54"/>
      <c r="K1" s="54"/>
      <c r="L1" s="54"/>
    </row>
    <row r="2" spans="1:12" ht="21.95" customHeight="1" x14ac:dyDescent="0.25">
      <c r="A2" s="55" t="s">
        <v>311</v>
      </c>
      <c r="B2" s="54"/>
      <c r="C2" s="54"/>
      <c r="D2" s="54"/>
      <c r="E2" s="54"/>
      <c r="F2" s="54"/>
      <c r="G2" s="54"/>
      <c r="H2" s="54"/>
      <c r="I2" s="54"/>
      <c r="J2" s="54"/>
      <c r="K2" s="54"/>
      <c r="L2" s="54"/>
    </row>
    <row r="3" spans="1:12" x14ac:dyDescent="0.25">
      <c r="A3" s="53"/>
      <c r="B3" s="53"/>
      <c r="C3" s="53"/>
      <c r="D3" s="53"/>
      <c r="E3" s="53"/>
      <c r="F3" s="53"/>
      <c r="G3" s="53"/>
      <c r="H3" s="53"/>
      <c r="I3" s="53"/>
      <c r="J3" s="53"/>
      <c r="K3" s="53"/>
      <c r="L3" s="53"/>
    </row>
    <row r="4" spans="1:12" x14ac:dyDescent="0.25">
      <c r="A4" s="56" t="s">
        <v>312</v>
      </c>
      <c r="B4" s="56"/>
      <c r="C4" s="56"/>
      <c r="D4" s="56" t="s">
        <v>313</v>
      </c>
      <c r="E4" s="56"/>
      <c r="F4" s="56"/>
      <c r="G4" s="56" t="s">
        <v>314</v>
      </c>
      <c r="H4" s="56"/>
      <c r="I4" s="56"/>
      <c r="J4" s="57" t="s">
        <v>315</v>
      </c>
      <c r="K4" s="57"/>
      <c r="L4" s="57"/>
    </row>
    <row r="5" spans="1:12" x14ac:dyDescent="0.25">
      <c r="A5" s="71">
        <f>AVERAGE(B11:B13)</f>
        <v>25.139276437070553</v>
      </c>
      <c r="B5" s="58"/>
      <c r="C5" s="58"/>
      <c r="D5" s="72">
        <f>AVERAGE(C11:C13)</f>
        <v>0.34976911704852887</v>
      </c>
      <c r="E5" s="58"/>
      <c r="F5" s="58"/>
      <c r="G5" s="73">
        <f>C13-C11</f>
        <v>-8.0792573439632531E-3</v>
      </c>
      <c r="H5" s="58"/>
      <c r="I5" s="58"/>
      <c r="J5" s="58" t="s">
        <v>316</v>
      </c>
      <c r="K5" s="58"/>
      <c r="L5" s="58"/>
    </row>
    <row r="6" spans="1:12" x14ac:dyDescent="0.25">
      <c r="A6" s="58"/>
      <c r="B6" s="58"/>
      <c r="C6" s="58"/>
      <c r="D6" s="58"/>
      <c r="E6" s="58"/>
      <c r="F6" s="58"/>
      <c r="G6" s="58"/>
      <c r="H6" s="58"/>
      <c r="I6" s="58"/>
      <c r="J6" s="58"/>
      <c r="K6" s="58"/>
      <c r="L6" s="58"/>
    </row>
    <row r="7" spans="1:12" x14ac:dyDescent="0.25">
      <c r="A7" s="53"/>
      <c r="B7" s="53"/>
      <c r="C7" s="53"/>
      <c r="D7" s="53"/>
      <c r="E7" s="53"/>
      <c r="F7" s="53"/>
      <c r="G7" s="53"/>
      <c r="H7" s="53"/>
      <c r="I7" s="53"/>
      <c r="J7" s="53"/>
      <c r="K7" s="53"/>
      <c r="L7" s="53"/>
    </row>
    <row r="8" spans="1:12" ht="27.95" customHeight="1" x14ac:dyDescent="0.25">
      <c r="A8" s="60" t="str">
        <f>"OUTLOOK: Lead time is projected to rise slightly from "&amp;TEXT(B11,"0.0")&amp;" to "&amp;TEXT(B13,"0.0")&amp;" days, while delayed/at-risk probability eases from "&amp;TEXT(C11,"0.0%")&amp;" to "&amp;TEXT(C13,"0.0%")&amp;"."</f>
        <v>OUTLOOK: Lead time is projected to rise slightly from 25.1 to 25.2 days, while delayed/at-risk probability eases from 35.4% to 34.6%.</v>
      </c>
      <c r="B8" s="59"/>
      <c r="C8" s="59"/>
      <c r="D8" s="59"/>
      <c r="E8" s="59"/>
      <c r="F8" s="59"/>
      <c r="G8" s="59"/>
      <c r="H8" s="59"/>
      <c r="I8" s="59"/>
      <c r="J8" s="59"/>
      <c r="K8" s="59"/>
      <c r="L8" s="59"/>
    </row>
    <row r="9" spans="1:12" x14ac:dyDescent="0.25">
      <c r="A9" s="53"/>
      <c r="B9" s="53"/>
      <c r="C9" s="53"/>
      <c r="D9" s="53"/>
      <c r="E9" s="53"/>
      <c r="F9" s="53"/>
      <c r="G9" s="53"/>
      <c r="H9" s="53"/>
      <c r="I9" s="53"/>
      <c r="J9" s="53"/>
      <c r="K9" s="53"/>
      <c r="L9" s="53"/>
    </row>
    <row r="10" spans="1:12" x14ac:dyDescent="0.25">
      <c r="A10" s="8" t="s">
        <v>317</v>
      </c>
      <c r="B10" s="8" t="s">
        <v>13</v>
      </c>
      <c r="C10" s="8" t="s">
        <v>318</v>
      </c>
      <c r="D10" s="8" t="s">
        <v>304</v>
      </c>
      <c r="E10" s="53"/>
      <c r="F10" s="53" t="s">
        <v>319</v>
      </c>
      <c r="G10" s="53"/>
      <c r="H10" s="53"/>
      <c r="I10" s="53"/>
      <c r="J10" s="53"/>
      <c r="K10" s="53"/>
      <c r="L10" s="53"/>
    </row>
    <row r="11" spans="1:12" x14ac:dyDescent="0.25">
      <c r="A11" s="62">
        <v>46327</v>
      </c>
      <c r="B11" s="65">
        <f>INDEX($B$26:$B$29,MATCH(F11,$F$26:$F$29,0))</f>
        <v>25.093134262251908</v>
      </c>
      <c r="C11" s="68">
        <f>INDEX($C$26:$C$29,MATCH(F11,$F$26:$F$29,0))</f>
        <v>0.35380874572051046</v>
      </c>
      <c r="D11" s="74" t="str">
        <f>IF(C11&gt;=0.4,"High",IF(C11&gt;=0.3,"Moderate","Low"))</f>
        <v>Moderate</v>
      </c>
      <c r="E11" s="53"/>
      <c r="F11" s="53">
        <v>11</v>
      </c>
      <c r="G11" s="53"/>
      <c r="H11" s="53"/>
      <c r="I11" s="53"/>
      <c r="J11" s="53"/>
      <c r="K11" s="53"/>
      <c r="L11" s="53"/>
    </row>
    <row r="12" spans="1:12" x14ac:dyDescent="0.25">
      <c r="A12" s="62">
        <v>46357</v>
      </c>
      <c r="B12" s="65">
        <f t="shared" ref="B12:B13" si="0">INDEX($B$26:$B$29,MATCH(F12,$F$26:$F$29,0))</f>
        <v>25.139276437070553</v>
      </c>
      <c r="C12" s="68">
        <f t="shared" ref="C12:C13" si="1">INDEX($C$26:$C$29,MATCH(F12,$F$26:$F$29,0))</f>
        <v>0.34976911704852887</v>
      </c>
      <c r="D12" s="74" t="str">
        <f t="shared" ref="D12:D13" si="2">IF(C12&gt;=0.4,"High",IF(C12&gt;=0.3,"Moderate","Low"))</f>
        <v>Moderate</v>
      </c>
      <c r="E12" s="53"/>
      <c r="F12" s="53">
        <v>12</v>
      </c>
      <c r="G12" s="53"/>
      <c r="H12" s="53"/>
      <c r="I12" s="53"/>
      <c r="J12" s="53"/>
      <c r="K12" s="53"/>
      <c r="L12" s="53"/>
    </row>
    <row r="13" spans="1:12" x14ac:dyDescent="0.25">
      <c r="A13" s="62">
        <v>46388</v>
      </c>
      <c r="B13" s="65">
        <f t="shared" si="0"/>
        <v>25.185418611889201</v>
      </c>
      <c r="C13" s="68">
        <f t="shared" si="1"/>
        <v>0.34572948837654721</v>
      </c>
      <c r="D13" s="74" t="str">
        <f t="shared" si="2"/>
        <v>Moderate</v>
      </c>
      <c r="E13" s="53"/>
      <c r="F13" s="53">
        <v>13</v>
      </c>
      <c r="G13" s="53"/>
      <c r="H13" s="53"/>
      <c r="I13" s="53"/>
      <c r="J13" s="53"/>
      <c r="K13" s="53"/>
      <c r="L13" s="53"/>
    </row>
    <row r="14" spans="1:12" x14ac:dyDescent="0.25">
      <c r="A14" s="53"/>
      <c r="B14" s="53"/>
      <c r="C14" s="53"/>
      <c r="D14" s="53"/>
      <c r="E14" s="53"/>
      <c r="F14" s="53"/>
      <c r="G14" s="53"/>
      <c r="H14" s="53"/>
      <c r="I14" s="53"/>
      <c r="J14" s="53"/>
      <c r="K14" s="53"/>
      <c r="L14" s="53"/>
    </row>
    <row r="15" spans="1:12" x14ac:dyDescent="0.25">
      <c r="A15" s="53"/>
      <c r="B15" s="53"/>
      <c r="C15" s="53"/>
      <c r="D15" s="53"/>
      <c r="E15" s="53"/>
      <c r="F15" s="53"/>
      <c r="G15" s="53"/>
      <c r="H15" s="53"/>
      <c r="I15" s="53"/>
      <c r="J15" s="53"/>
      <c r="K15" s="53"/>
      <c r="L15" s="53"/>
    </row>
    <row r="16" spans="1:12" x14ac:dyDescent="0.25">
      <c r="A16" s="8" t="s">
        <v>320</v>
      </c>
      <c r="B16" s="8" t="s">
        <v>321</v>
      </c>
      <c r="C16" s="8" t="s">
        <v>318</v>
      </c>
      <c r="D16" s="8" t="s">
        <v>322</v>
      </c>
      <c r="E16" s="53"/>
      <c r="F16" s="53" t="s">
        <v>319</v>
      </c>
      <c r="G16" s="53"/>
      <c r="H16" s="53"/>
      <c r="I16" s="53"/>
      <c r="J16" s="53"/>
      <c r="K16" s="53"/>
      <c r="L16" s="53"/>
    </row>
    <row r="17" spans="1:12" x14ac:dyDescent="0.25">
      <c r="A17" s="63">
        <v>46023</v>
      </c>
      <c r="B17" s="66">
        <f>AVERAGEIFS(RawOrders[Lead Time Days],RawOrders[Order Date],"&gt;="&amp;A17,RawOrders[Order Date],"&lt;"&amp;EDATE(A17,1))</f>
        <v>25.952380952380953</v>
      </c>
      <c r="C17" s="69">
        <f>(COUNTIFS(RawOrders[Order Date],"&gt;="&amp;A17,RawOrders[Order Date],"&lt;"&amp;EDATE(A17,1),RawOrders[Delivery Status],"Delayed")+COUNTIFS(RawOrders[Order Date],"&gt;="&amp;A17,RawOrders[Order Date],"&lt;"&amp;EDATE(A17,1),RawOrders[Delivery Status],"At Risk"))/COUNTIFS(RawOrders[Order Date],"&gt;="&amp;A17,RawOrders[Order Date],"&lt;"&amp;EDATE(A17,1))</f>
        <v>0.42857142857142855</v>
      </c>
      <c r="D17" s="53" t="s">
        <v>305</v>
      </c>
      <c r="E17" s="53"/>
      <c r="F17" s="53">
        <v>1</v>
      </c>
      <c r="G17" s="53"/>
      <c r="H17" s="53"/>
      <c r="I17" s="53"/>
      <c r="J17" s="53"/>
      <c r="K17" s="53"/>
      <c r="L17" s="53"/>
    </row>
    <row r="18" spans="1:12" x14ac:dyDescent="0.25">
      <c r="A18" s="63">
        <v>46054</v>
      </c>
      <c r="B18" s="66">
        <f>AVERAGEIFS(RawOrders[Lead Time Days],RawOrders[Order Date],"&gt;="&amp;A18,RawOrders[Order Date],"&lt;"&amp;EDATE(A18,1))</f>
        <v>29.125</v>
      </c>
      <c r="C18" s="69">
        <f>(COUNTIFS(RawOrders[Order Date],"&gt;="&amp;A18,RawOrders[Order Date],"&lt;"&amp;EDATE(A18,1),RawOrders[Delivery Status],"Delayed")+COUNTIFS(RawOrders[Order Date],"&gt;="&amp;A18,RawOrders[Order Date],"&lt;"&amp;EDATE(A18,1),RawOrders[Delivery Status],"At Risk"))/COUNTIFS(RawOrders[Order Date],"&gt;="&amp;A18,RawOrders[Order Date],"&lt;"&amp;EDATE(A18,1))</f>
        <v>0.25</v>
      </c>
      <c r="D18" s="53" t="s">
        <v>305</v>
      </c>
      <c r="E18" s="53"/>
      <c r="F18" s="53">
        <v>2</v>
      </c>
      <c r="G18" s="53"/>
      <c r="H18" s="53"/>
      <c r="I18" s="53"/>
      <c r="J18" s="53"/>
      <c r="K18" s="53"/>
      <c r="L18" s="53"/>
    </row>
    <row r="19" spans="1:12" x14ac:dyDescent="0.25">
      <c r="A19" s="63">
        <v>46082</v>
      </c>
      <c r="B19" s="66">
        <f>AVERAGEIFS(RawOrders[Lead Time Days],RawOrders[Order Date],"&gt;="&amp;A19,RawOrders[Order Date],"&lt;"&amp;EDATE(A19,1))</f>
        <v>17.846153846153847</v>
      </c>
      <c r="C19" s="69">
        <f>(COUNTIFS(RawOrders[Order Date],"&gt;="&amp;A19,RawOrders[Order Date],"&lt;"&amp;EDATE(A19,1),RawOrders[Delivery Status],"Delayed")+COUNTIFS(RawOrders[Order Date],"&gt;="&amp;A19,RawOrders[Order Date],"&lt;"&amp;EDATE(A19,1),RawOrders[Delivery Status],"At Risk"))/COUNTIFS(RawOrders[Order Date],"&gt;="&amp;A19,RawOrders[Order Date],"&lt;"&amp;EDATE(A19,1))</f>
        <v>0.38461538461538464</v>
      </c>
      <c r="D19" s="53" t="s">
        <v>305</v>
      </c>
      <c r="E19" s="53"/>
      <c r="F19" s="53">
        <v>3</v>
      </c>
      <c r="G19" s="53"/>
      <c r="H19" s="53"/>
      <c r="I19" s="53"/>
      <c r="J19" s="53"/>
      <c r="K19" s="53"/>
      <c r="L19" s="53"/>
    </row>
    <row r="20" spans="1:12" x14ac:dyDescent="0.25">
      <c r="A20" s="63">
        <v>46113</v>
      </c>
      <c r="B20" s="66">
        <f>AVERAGEIFS(RawOrders[Lead Time Days],RawOrders[Order Date],"&gt;="&amp;A20,RawOrders[Order Date],"&lt;"&amp;EDATE(A20,1))</f>
        <v>26</v>
      </c>
      <c r="C20" s="69">
        <f>(COUNTIFS(RawOrders[Order Date],"&gt;="&amp;A20,RawOrders[Order Date],"&lt;"&amp;EDATE(A20,1),RawOrders[Delivery Status],"Delayed")+COUNTIFS(RawOrders[Order Date],"&gt;="&amp;A20,RawOrders[Order Date],"&lt;"&amp;EDATE(A20,1),RawOrders[Delivery Status],"At Risk"))/COUNTIFS(RawOrders[Order Date],"&gt;="&amp;A20,RawOrders[Order Date],"&lt;"&amp;EDATE(A20,1))</f>
        <v>0.5</v>
      </c>
      <c r="D20" s="53" t="s">
        <v>305</v>
      </c>
      <c r="E20" s="53"/>
      <c r="F20" s="53">
        <v>4</v>
      </c>
      <c r="G20" s="53"/>
      <c r="H20" s="53"/>
      <c r="I20" s="53"/>
      <c r="J20" s="53"/>
      <c r="K20" s="53"/>
      <c r="L20" s="53"/>
    </row>
    <row r="21" spans="1:12" x14ac:dyDescent="0.25">
      <c r="A21" s="63">
        <v>46143</v>
      </c>
      <c r="B21" s="66">
        <f>AVERAGEIFS(RawOrders[Lead Time Days],RawOrders[Order Date],"&gt;="&amp;A21,RawOrders[Order Date],"&lt;"&amp;EDATE(A21,1))</f>
        <v>23.714285714285715</v>
      </c>
      <c r="C21" s="69">
        <f>(COUNTIFS(RawOrders[Order Date],"&gt;="&amp;A21,RawOrders[Order Date],"&lt;"&amp;EDATE(A21,1),RawOrders[Delivery Status],"Delayed")+COUNTIFS(RawOrders[Order Date],"&gt;="&amp;A21,RawOrders[Order Date],"&lt;"&amp;EDATE(A21,1),RawOrders[Delivery Status],"At Risk"))/COUNTIFS(RawOrders[Order Date],"&gt;="&amp;A21,RawOrders[Order Date],"&lt;"&amp;EDATE(A21,1))</f>
        <v>0.35714285714285715</v>
      </c>
      <c r="D21" s="53" t="s">
        <v>305</v>
      </c>
      <c r="E21" s="53"/>
      <c r="F21" s="53">
        <v>5</v>
      </c>
      <c r="G21" s="53"/>
      <c r="H21" s="53"/>
      <c r="I21" s="53"/>
      <c r="J21" s="53"/>
      <c r="K21" s="53"/>
      <c r="L21" s="53"/>
    </row>
    <row r="22" spans="1:12" x14ac:dyDescent="0.25">
      <c r="A22" s="63">
        <v>46174</v>
      </c>
      <c r="B22" s="66">
        <f>AVERAGEIFS(RawOrders[Lead Time Days],RawOrders[Order Date],"&gt;="&amp;A22,RawOrders[Order Date],"&lt;"&amp;EDATE(A22,1))</f>
        <v>23.125</v>
      </c>
      <c r="C22" s="69">
        <f>(COUNTIFS(RawOrders[Order Date],"&gt;="&amp;A22,RawOrders[Order Date],"&lt;"&amp;EDATE(A22,1),RawOrders[Delivery Status],"Delayed")+COUNTIFS(RawOrders[Order Date],"&gt;="&amp;A22,RawOrders[Order Date],"&lt;"&amp;EDATE(A22,1),RawOrders[Delivery Status],"At Risk"))/COUNTIFS(RawOrders[Order Date],"&gt;="&amp;A22,RawOrders[Order Date],"&lt;"&amp;EDATE(A22,1))</f>
        <v>0.375</v>
      </c>
      <c r="D22" s="53" t="s">
        <v>305</v>
      </c>
      <c r="E22" s="53"/>
      <c r="F22" s="53">
        <v>6</v>
      </c>
      <c r="G22" s="53"/>
      <c r="H22" s="53"/>
      <c r="I22" s="53"/>
      <c r="J22" s="53"/>
      <c r="K22" s="53"/>
      <c r="L22" s="53"/>
    </row>
    <row r="23" spans="1:12" x14ac:dyDescent="0.25">
      <c r="A23" s="63">
        <v>46204</v>
      </c>
      <c r="B23" s="66">
        <f>AVERAGEIFS(RawOrders[Lead Time Days],RawOrders[Order Date],"&gt;="&amp;A23,RawOrders[Order Date],"&lt;"&amp;EDATE(A23,1))</f>
        <v>25.23076923076923</v>
      </c>
      <c r="C23" s="69">
        <f>(COUNTIFS(RawOrders[Order Date],"&gt;="&amp;A23,RawOrders[Order Date],"&lt;"&amp;EDATE(A23,1),RawOrders[Delivery Status],"Delayed")+COUNTIFS(RawOrders[Order Date],"&gt;="&amp;A23,RawOrders[Order Date],"&lt;"&amp;EDATE(A23,1),RawOrders[Delivery Status],"At Risk"))/COUNTIFS(RawOrders[Order Date],"&gt;="&amp;A23,RawOrders[Order Date],"&lt;"&amp;EDATE(A23,1))</f>
        <v>0.53846153846153844</v>
      </c>
      <c r="D23" s="53" t="s">
        <v>305</v>
      </c>
      <c r="E23" s="53"/>
      <c r="F23" s="53">
        <v>7</v>
      </c>
      <c r="G23" s="53"/>
      <c r="H23" s="53"/>
      <c r="I23" s="53"/>
      <c r="J23" s="53"/>
      <c r="K23" s="53"/>
      <c r="L23" s="53"/>
    </row>
    <row r="24" spans="1:12" x14ac:dyDescent="0.25">
      <c r="A24" s="63">
        <v>46235</v>
      </c>
      <c r="B24" s="66">
        <f>AVERAGEIFS(RawOrders[Lead Time Days],RawOrders[Order Date],"&gt;="&amp;A24,RawOrders[Order Date],"&lt;"&amp;EDATE(A24,1))</f>
        <v>27.352941176470587</v>
      </c>
      <c r="C24" s="69">
        <f>(COUNTIFS(RawOrders[Order Date],"&gt;="&amp;A24,RawOrders[Order Date],"&lt;"&amp;EDATE(A24,1),RawOrders[Delivery Status],"Delayed")+COUNTIFS(RawOrders[Order Date],"&gt;="&amp;A24,RawOrders[Order Date],"&lt;"&amp;EDATE(A24,1),RawOrders[Delivery Status],"At Risk"))/COUNTIFS(RawOrders[Order Date],"&gt;="&amp;A24,RawOrders[Order Date],"&lt;"&amp;EDATE(A24,1))</f>
        <v>0.23529411764705882</v>
      </c>
      <c r="D24" s="53" t="s">
        <v>305</v>
      </c>
      <c r="E24" s="53"/>
      <c r="F24" s="53">
        <v>8</v>
      </c>
      <c r="G24" s="53"/>
      <c r="H24" s="53"/>
      <c r="I24" s="53"/>
      <c r="J24" s="53"/>
      <c r="K24" s="53"/>
      <c r="L24" s="53"/>
    </row>
    <row r="25" spans="1:12" x14ac:dyDescent="0.25">
      <c r="A25" s="63">
        <v>46266</v>
      </c>
      <c r="B25" s="66">
        <f>AVERAGEIFS(RawOrders[Lead Time Days],RawOrders[Order Date],"&gt;="&amp;A25,RawOrders[Order Date],"&lt;"&amp;EDATE(A25,1))</f>
        <v>25</v>
      </c>
      <c r="C25" s="69">
        <f>(COUNTIFS(RawOrders[Order Date],"&gt;="&amp;A25,RawOrders[Order Date],"&lt;"&amp;EDATE(A25,1),RawOrders[Delivery Status],"Delayed")+COUNTIFS(RawOrders[Order Date],"&gt;="&amp;A25,RawOrders[Order Date],"&lt;"&amp;EDATE(A25,1),RawOrders[Delivery Status],"At Risk"))/COUNTIFS(RawOrders[Order Date],"&gt;="&amp;A25,RawOrders[Order Date],"&lt;"&amp;EDATE(A25,1))</f>
        <v>0.33333333333333331</v>
      </c>
      <c r="D25" s="53" t="s">
        <v>305</v>
      </c>
      <c r="E25" s="53"/>
      <c r="F25" s="53">
        <v>9</v>
      </c>
      <c r="G25" s="53"/>
      <c r="H25" s="53"/>
      <c r="I25" s="53"/>
      <c r="J25" s="53"/>
      <c r="K25" s="53"/>
      <c r="L25" s="53"/>
    </row>
    <row r="26" spans="1:12" x14ac:dyDescent="0.25">
      <c r="A26" s="64">
        <v>46296</v>
      </c>
      <c r="B26" s="67">
        <f>_xlfn.FORECAST.LINEAR(F26,$B$17:$B$25,$F$17:$F$25)</f>
        <v>25.046992087433264</v>
      </c>
      <c r="C26" s="70">
        <f>MAX(0,MIN(1,_xlfn.FORECAST.LINEAR(F26,$C$17:$C$25,$F$17:$F$25)))</f>
        <v>0.35784837439249206</v>
      </c>
      <c r="D26" s="61" t="s">
        <v>306</v>
      </c>
      <c r="E26" s="53"/>
      <c r="F26" s="53">
        <v>10</v>
      </c>
      <c r="G26" s="53"/>
      <c r="H26" s="53"/>
      <c r="I26" s="53"/>
      <c r="J26" s="53"/>
      <c r="K26" s="53"/>
      <c r="L26" s="53"/>
    </row>
    <row r="27" spans="1:12" x14ac:dyDescent="0.25">
      <c r="A27" s="64">
        <v>46327</v>
      </c>
      <c r="B27" s="67">
        <f t="shared" ref="B27:B29" si="3">_xlfn.FORECAST.LINEAR(F27,$B$17:$B$25,$F$17:$F$25)</f>
        <v>25.093134262251908</v>
      </c>
      <c r="C27" s="70">
        <f t="shared" ref="C27:C29" si="4">MAX(0,MIN(1,_xlfn.FORECAST.LINEAR(F27,$C$17:$C$25,$F$17:$F$25)))</f>
        <v>0.35380874572051046</v>
      </c>
      <c r="D27" s="61" t="s">
        <v>306</v>
      </c>
      <c r="E27" s="53"/>
      <c r="F27" s="53">
        <v>11</v>
      </c>
      <c r="G27" s="53"/>
      <c r="H27" s="53"/>
      <c r="I27" s="53"/>
      <c r="J27" s="53"/>
      <c r="K27" s="53"/>
      <c r="L27" s="53"/>
    </row>
    <row r="28" spans="1:12" x14ac:dyDescent="0.25">
      <c r="A28" s="64">
        <v>46357</v>
      </c>
      <c r="B28" s="67">
        <f t="shared" si="3"/>
        <v>25.139276437070553</v>
      </c>
      <c r="C28" s="70">
        <f t="shared" si="4"/>
        <v>0.34976911704852887</v>
      </c>
      <c r="D28" s="61" t="s">
        <v>306</v>
      </c>
      <c r="E28" s="53"/>
      <c r="F28" s="53">
        <v>12</v>
      </c>
      <c r="G28" s="53"/>
      <c r="H28" s="53"/>
      <c r="I28" s="53"/>
      <c r="J28" s="53"/>
      <c r="K28" s="53"/>
      <c r="L28" s="53"/>
    </row>
    <row r="29" spans="1:12" x14ac:dyDescent="0.25">
      <c r="A29" s="64">
        <v>46388</v>
      </c>
      <c r="B29" s="67">
        <f t="shared" si="3"/>
        <v>25.185418611889201</v>
      </c>
      <c r="C29" s="70">
        <f t="shared" si="4"/>
        <v>0.34572948837654721</v>
      </c>
      <c r="D29" s="61" t="s">
        <v>306</v>
      </c>
      <c r="E29" s="53"/>
      <c r="F29" s="53">
        <v>13</v>
      </c>
      <c r="G29" s="53"/>
      <c r="H29" s="53"/>
      <c r="I29" s="53"/>
      <c r="J29" s="53"/>
      <c r="K29" s="53"/>
      <c r="L29" s="53"/>
    </row>
    <row r="30" spans="1:12" x14ac:dyDescent="0.25">
      <c r="A30" s="53"/>
      <c r="B30" s="53"/>
      <c r="C30" s="53"/>
      <c r="D30" s="53"/>
      <c r="E30" s="53"/>
      <c r="F30" s="53"/>
      <c r="G30" s="53"/>
      <c r="H30" s="53"/>
      <c r="I30" s="53"/>
      <c r="J30" s="53"/>
      <c r="K30" s="53"/>
      <c r="L30" s="53"/>
    </row>
    <row r="31" spans="1:12" x14ac:dyDescent="0.25">
      <c r="A31" s="53"/>
      <c r="B31" s="53"/>
      <c r="C31" s="53"/>
      <c r="D31" s="53"/>
      <c r="E31" s="53"/>
      <c r="F31" s="53"/>
      <c r="G31" s="53"/>
      <c r="H31" s="53"/>
      <c r="I31" s="53"/>
      <c r="J31" s="53"/>
      <c r="K31" s="53"/>
      <c r="L31" s="53"/>
    </row>
    <row r="32" spans="1:12" x14ac:dyDescent="0.25">
      <c r="A32" s="53"/>
      <c r="B32" s="53"/>
      <c r="C32" s="53"/>
      <c r="D32" s="53"/>
      <c r="E32" s="53"/>
      <c r="F32" s="53"/>
      <c r="G32" s="53"/>
      <c r="H32" s="53"/>
      <c r="I32" s="53"/>
      <c r="J32" s="53"/>
      <c r="K32" s="53"/>
      <c r="L32" s="53"/>
    </row>
    <row r="33" spans="1:12" x14ac:dyDescent="0.25">
      <c r="A33" s="53"/>
      <c r="B33" s="53"/>
      <c r="C33" s="53"/>
      <c r="D33" s="53"/>
      <c r="E33" s="53"/>
      <c r="F33" s="53"/>
      <c r="G33" s="53"/>
      <c r="H33" s="53"/>
      <c r="I33" s="53"/>
      <c r="J33" s="53"/>
      <c r="K33" s="53"/>
      <c r="L33" s="53"/>
    </row>
    <row r="34" spans="1:12" x14ac:dyDescent="0.25">
      <c r="A34" s="53"/>
      <c r="B34" s="53"/>
      <c r="C34" s="53"/>
      <c r="D34" s="53"/>
      <c r="E34" s="53"/>
      <c r="F34" s="53"/>
      <c r="G34" s="53"/>
      <c r="H34" s="53"/>
      <c r="I34" s="53"/>
      <c r="J34" s="53"/>
      <c r="K34" s="53"/>
      <c r="L34" s="53"/>
    </row>
    <row r="35" spans="1:12" x14ac:dyDescent="0.25">
      <c r="A35" s="53"/>
      <c r="B35" s="53"/>
      <c r="C35" s="53"/>
      <c r="D35" s="53"/>
      <c r="E35" s="53"/>
      <c r="F35" s="53"/>
      <c r="G35" s="53"/>
      <c r="H35" s="53"/>
      <c r="I35" s="53"/>
      <c r="J35" s="53"/>
      <c r="K35" s="53"/>
      <c r="L35" s="53"/>
    </row>
  </sheetData>
  <mergeCells count="11">
    <mergeCell ref="A5:C6"/>
    <mergeCell ref="D5:F6"/>
    <mergeCell ref="G5:I6"/>
    <mergeCell ref="J5:L6"/>
    <mergeCell ref="A8:L8"/>
    <mergeCell ref="A1:L1"/>
    <mergeCell ref="A2:L2"/>
    <mergeCell ref="A4:C4"/>
    <mergeCell ref="D4:F4"/>
    <mergeCell ref="G4:I4"/>
    <mergeCell ref="J4:L4"/>
  </mergeCells>
  <pageMargins left="0.7" right="0.7" top="0.75" bottom="0.75" header="0.3" footer="0.3"/>
  <drawing r:id="rId1"/>
</worksheet>
</file>

<file path=docMetadata/LabelInfo.xml><?xml version="1.0" encoding="utf-8"?>
<clbl:labelList xmlns:clbl="http://schemas.microsoft.com/office/2020/mipLabelMetadata">
  <clbl:label id="{87ba5c36-b7cf-4793-bbc2-bd5b3a9f95ca}"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Raw_Data</vt:lpstr>
      <vt:lpstr>Data Quality Audit</vt:lpstr>
      <vt:lpstr>Chart Data</vt:lpstr>
      <vt:lpstr>Lubrizol Financials</vt:lpstr>
      <vt:lpstr>Dashboard</vt:lpstr>
      <vt:lpstr>Pivot Dashboard</vt:lpstr>
      <vt:lpstr>3-Month Forecast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Ning Wei</dc:creator>
  <cp:keywords/>
  <dc:description/>
  <cp:lastModifiedBy>Ning Wei</cp:lastModifiedBy>
  <cp:revision/>
  <dcterms:created xsi:type="dcterms:W3CDTF">2026-10-16T14:55:15Z</dcterms:created>
  <dcterms:modified xsi:type="dcterms:W3CDTF">2026-10-21T14:58:10Z</dcterms:modified>
  <cp:category/>
  <cp:contentStatus/>
</cp:coreProperties>
</file>